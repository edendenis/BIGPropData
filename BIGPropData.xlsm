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eden\OneDrive - EDF\Área de Trabalho\"/>
    </mc:Choice>
  </mc:AlternateContent>
  <xr:revisionPtr revIDLastSave="0" documentId="13_ncr:1_{59116C02-05C1-4176-BC12-1EC221913C98}" xr6:coauthVersionLast="47" xr6:coauthVersionMax="47" xr10:uidLastSave="{00000000-0000-0000-0000-000000000000}"/>
  <bookViews>
    <workbookView xWindow="-108" yWindow="-108" windowWidth="23256" windowHeight="12720" tabRatio="886" firstSheet="2" activeTab="2" xr2:uid="{00000000-000D-0000-FFFF-FFFF00000000}"/>
  </bookViews>
  <sheets>
    <sheet name="Executar" sheetId="1" r:id="rId1"/>
    <sheet name="Tabela Entrada-Saída" sheetId="2" r:id="rId2"/>
    <sheet name="Formulário" sheetId="11" r:id="rId3"/>
    <sheet name="Solução" sheetId="10" r:id="rId4"/>
    <sheet name="Sem Outlayers" sheetId="14" r:id="rId5"/>
    <sheet name="Coeficiente de Acerto" sheetId="12" r:id="rId6"/>
    <sheet name="Outlayers" sheetId="13" r:id="rId7"/>
    <sheet name="Coordenadas dos Polos" sheetId="3" r:id="rId8"/>
    <sheet name="Cálculos Diversos" sheetId="4" r:id="rId9"/>
    <sheet name="Matrix (R)" sheetId="5" r:id="rId10"/>
    <sheet name="Matrix (R)^t" sheetId="6" r:id="rId11"/>
    <sheet name="Matrix (R)^t.(R)" sheetId="7" r:id="rId12"/>
    <sheet name="Matrix ((R)^t.(R))^(-1)" sheetId="8" r:id="rId13"/>
    <sheet name="Matrix (((R)^t.(R))^(-1)).(R)^t" sheetId="9" r:id="rId14"/>
  </sheets>
  <definedNames>
    <definedName name="_xlnm._FilterDatabase" localSheetId="5" hidden="1">'Coeficiente de Acerto'!$A$372:$X$782</definedName>
    <definedName name="_xlnm.Print_Titles" localSheetId="4">'Sem Outlayers'!$1:$1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4" i="12" l="1" a="1"/>
  <c r="A101" i="12" s="1"/>
  <c r="A79" i="12"/>
  <c r="GP16" i="3"/>
  <c r="GB16" i="3"/>
  <c r="FN16" i="3"/>
  <c r="EZ16" i="3"/>
  <c r="EL16" i="3"/>
  <c r="DX16" i="3"/>
  <c r="DJ16" i="3"/>
  <c r="CV16" i="3"/>
  <c r="CH16" i="3"/>
  <c r="BT16" i="3"/>
  <c r="BF16" i="3"/>
  <c r="AR16" i="3"/>
  <c r="AD16" i="3"/>
  <c r="P16" i="3"/>
  <c r="GP15" i="3"/>
  <c r="GB15" i="3"/>
  <c r="FN15" i="3"/>
  <c r="EZ15" i="3"/>
  <c r="EL15" i="3"/>
  <c r="DX15" i="3"/>
  <c r="DJ15" i="3"/>
  <c r="CV15" i="3"/>
  <c r="CH15" i="3"/>
  <c r="BT15" i="3"/>
  <c r="BF15" i="3"/>
  <c r="AR15" i="3"/>
  <c r="AD15" i="3"/>
  <c r="P15" i="3"/>
  <c r="GP14" i="3"/>
  <c r="GB14" i="3"/>
  <c r="FN14" i="3"/>
  <c r="EZ14" i="3"/>
  <c r="EL14" i="3"/>
  <c r="DX14" i="3"/>
  <c r="DJ14" i="3"/>
  <c r="CV14" i="3"/>
  <c r="CH14" i="3"/>
  <c r="BT14" i="3"/>
  <c r="BF14" i="3"/>
  <c r="AR14" i="3"/>
  <c r="AD14" i="3"/>
  <c r="P14" i="3"/>
  <c r="GP13" i="3"/>
  <c r="GB13" i="3"/>
  <c r="FN13" i="3"/>
  <c r="EZ13" i="3"/>
  <c r="EL13" i="3"/>
  <c r="DX13" i="3"/>
  <c r="DJ13" i="3"/>
  <c r="CV13" i="3"/>
  <c r="CH13" i="3"/>
  <c r="BT13" i="3"/>
  <c r="BF13" i="3"/>
  <c r="AR13" i="3"/>
  <c r="AD13" i="3"/>
  <c r="P13" i="3"/>
  <c r="GP12" i="3"/>
  <c r="GB12" i="3"/>
  <c r="FN12" i="3"/>
  <c r="EZ12" i="3"/>
  <c r="EL12" i="3"/>
  <c r="DX12" i="3"/>
  <c r="DJ12" i="3"/>
  <c r="CV12" i="3"/>
  <c r="CH12" i="3"/>
  <c r="BT12" i="3"/>
  <c r="BF12" i="3"/>
  <c r="AR12" i="3"/>
  <c r="AD12" i="3"/>
  <c r="P12" i="3"/>
  <c r="GP11" i="3"/>
  <c r="GB11" i="3"/>
  <c r="FN11" i="3"/>
  <c r="EZ11" i="3"/>
  <c r="EL11" i="3"/>
  <c r="DX11" i="3"/>
  <c r="DJ11" i="3"/>
  <c r="CV11" i="3"/>
  <c r="CH11" i="3"/>
  <c r="BT11" i="3"/>
  <c r="BF11" i="3"/>
  <c r="AR11" i="3"/>
  <c r="AD11" i="3"/>
  <c r="P11" i="3"/>
  <c r="GP10" i="3"/>
  <c r="GB10" i="3"/>
  <c r="FN10" i="3"/>
  <c r="EZ10" i="3"/>
  <c r="EL10" i="3"/>
  <c r="DX10" i="3"/>
  <c r="DJ10" i="3"/>
  <c r="CV10" i="3"/>
  <c r="CH10" i="3"/>
  <c r="BT10" i="3"/>
  <c r="BF10" i="3"/>
  <c r="AR10" i="3"/>
  <c r="AD10" i="3"/>
  <c r="P10" i="3"/>
  <c r="GP9" i="3"/>
  <c r="GB9" i="3"/>
  <c r="FN9" i="3"/>
  <c r="EZ9" i="3"/>
  <c r="EL9" i="3"/>
  <c r="DX9" i="3"/>
  <c r="DJ9" i="3"/>
  <c r="CV9" i="3"/>
  <c r="CH9" i="3"/>
  <c r="BT9" i="3"/>
  <c r="BF9" i="3"/>
  <c r="AR9" i="3"/>
  <c r="AD9" i="3"/>
  <c r="P9" i="3"/>
  <c r="GP8" i="3"/>
  <c r="GB8" i="3"/>
  <c r="FN8" i="3"/>
  <c r="EZ8" i="3"/>
  <c r="EL8" i="3"/>
  <c r="DX8" i="3"/>
  <c r="DJ8" i="3"/>
  <c r="CV8" i="3"/>
  <c r="CH8" i="3"/>
  <c r="BT8" i="3"/>
  <c r="BF8" i="3"/>
  <c r="AR8" i="3"/>
  <c r="AD8" i="3"/>
  <c r="P8" i="3"/>
  <c r="GP7" i="3"/>
  <c r="GB7" i="3"/>
  <c r="FN7" i="3"/>
  <c r="EZ7" i="3"/>
  <c r="EL7" i="3"/>
  <c r="DX7" i="3"/>
  <c r="DJ7" i="3"/>
  <c r="CV7" i="3"/>
  <c r="CH7" i="3"/>
  <c r="BT7" i="3"/>
  <c r="BF7" i="3"/>
  <c r="AR7" i="3"/>
  <c r="AD7" i="3"/>
  <c r="P7" i="3"/>
  <c r="GP6" i="3"/>
  <c r="GB6" i="3"/>
  <c r="FN6" i="3"/>
  <c r="EZ6" i="3"/>
  <c r="EL6" i="3"/>
  <c r="DX6" i="3"/>
  <c r="DJ6" i="3"/>
  <c r="CV6" i="3"/>
  <c r="CH6" i="3"/>
  <c r="BT6" i="3"/>
  <c r="BF6" i="3"/>
  <c r="AR6" i="3"/>
  <c r="AD6" i="3"/>
  <c r="P6" i="3"/>
  <c r="GP5" i="3"/>
  <c r="GB5" i="3"/>
  <c r="FN5" i="3"/>
  <c r="EZ5" i="3"/>
  <c r="EL5" i="3"/>
  <c r="DX5" i="3"/>
  <c r="DJ5" i="3"/>
  <c r="CV5" i="3"/>
  <c r="CH5" i="3"/>
  <c r="BT5" i="3"/>
  <c r="BF5" i="3"/>
  <c r="AR5" i="3"/>
  <c r="AD5" i="3"/>
  <c r="P5" i="3"/>
  <c r="GP4" i="3"/>
  <c r="GB4" i="3"/>
  <c r="FN4" i="3"/>
  <c r="EZ4" i="3"/>
  <c r="EL4" i="3"/>
  <c r="DX4" i="3"/>
  <c r="DJ4" i="3"/>
  <c r="CV4" i="3"/>
  <c r="CH4" i="3"/>
  <c r="BT4" i="3"/>
  <c r="BF4" i="3"/>
  <c r="AR4" i="3"/>
  <c r="AD4" i="3"/>
  <c r="P4" i="3"/>
  <c r="GP3" i="3"/>
  <c r="GB3" i="3"/>
  <c r="FN3" i="3"/>
  <c r="EZ3" i="3"/>
  <c r="EL3" i="3"/>
  <c r="DX3" i="3"/>
  <c r="DJ3" i="3"/>
  <c r="CV3" i="3"/>
  <c r="CH3" i="3"/>
  <c r="BT3" i="3"/>
  <c r="BF3" i="3"/>
  <c r="AR3" i="3"/>
  <c r="AD3" i="3"/>
  <c r="P3" i="3"/>
  <c r="A71" i="12" l="1"/>
  <c r="A111" i="12"/>
  <c r="A87" i="12"/>
  <c r="A118" i="12"/>
  <c r="A94" i="12"/>
  <c r="A70" i="12"/>
  <c r="A117" i="12"/>
  <c r="A85" i="12"/>
  <c r="A77" i="12"/>
  <c r="A108" i="12"/>
  <c r="A92" i="12"/>
  <c r="A84" i="12"/>
  <c r="A76" i="12"/>
  <c r="A123" i="12"/>
  <c r="A115" i="12"/>
  <c r="A107" i="12"/>
  <c r="A99" i="12"/>
  <c r="A91" i="12"/>
  <c r="A83" i="12"/>
  <c r="A75" i="12"/>
  <c r="A67" i="12"/>
  <c r="A122" i="12"/>
  <c r="A114" i="12"/>
  <c r="A106" i="12"/>
  <c r="A98" i="12"/>
  <c r="A90" i="12"/>
  <c r="A82" i="12"/>
  <c r="A74" i="12"/>
  <c r="A66" i="12"/>
  <c r="A119" i="12"/>
  <c r="A95" i="12"/>
  <c r="A110" i="12"/>
  <c r="A86" i="12"/>
  <c r="A109" i="12"/>
  <c r="A93" i="12"/>
  <c r="A69" i="12"/>
  <c r="A116" i="12"/>
  <c r="A100" i="12"/>
  <c r="A68" i="12"/>
  <c r="A121" i="12"/>
  <c r="A113" i="12"/>
  <c r="A105" i="12"/>
  <c r="A97" i="12"/>
  <c r="A89" i="12"/>
  <c r="A81" i="12"/>
  <c r="A73" i="12"/>
  <c r="A65" i="12"/>
  <c r="A120" i="12"/>
  <c r="A112" i="12"/>
  <c r="A104" i="12"/>
  <c r="A96" i="12"/>
  <c r="A88" i="12"/>
  <c r="A80" i="12"/>
  <c r="A72" i="12"/>
  <c r="A64" i="12"/>
  <c r="B125" i="12" s="1"/>
  <c r="B16" i="11" s="1"/>
  <c r="A103" i="12"/>
  <c r="A102" i="12"/>
  <c r="A78" i="12"/>
  <c r="B3" i="4"/>
  <c r="B5" i="4" s="1"/>
  <c r="C9" i="10" l="1"/>
  <c r="C16" i="10"/>
  <c r="C8" i="10"/>
  <c r="C15" i="10"/>
  <c r="C7" i="10"/>
  <c r="C14" i="10"/>
  <c r="C6" i="10"/>
  <c r="C13" i="10"/>
  <c r="C5" i="10"/>
  <c r="C12" i="10"/>
  <c r="C4" i="10"/>
  <c r="C11" i="10"/>
  <c r="C10" i="10"/>
  <c r="C3" i="10"/>
  <c r="O61" i="5"/>
  <c r="G61" i="5"/>
  <c r="M60" i="5"/>
  <c r="E60" i="5"/>
  <c r="K59" i="5"/>
  <c r="C59" i="5"/>
  <c r="I58" i="5"/>
  <c r="O57" i="5"/>
  <c r="N61" i="5"/>
  <c r="F61" i="5"/>
  <c r="L60" i="5"/>
  <c r="D60" i="5"/>
  <c r="J59" i="5"/>
  <c r="B59" i="5"/>
  <c r="H58" i="5"/>
  <c r="N57" i="5"/>
  <c r="F57" i="5"/>
  <c r="L56" i="5"/>
  <c r="D56" i="5"/>
  <c r="J55" i="5"/>
  <c r="B55" i="5"/>
  <c r="H54" i="5"/>
  <c r="N53" i="5"/>
  <c r="F53" i="5"/>
  <c r="L52" i="5"/>
  <c r="D52" i="5"/>
  <c r="J51" i="5"/>
  <c r="M61" i="5"/>
  <c r="E61" i="5"/>
  <c r="K60" i="5"/>
  <c r="C60" i="5"/>
  <c r="I59" i="5"/>
  <c r="O58" i="5"/>
  <c r="G58" i="5"/>
  <c r="M57" i="5"/>
  <c r="E57" i="5"/>
  <c r="K56" i="5"/>
  <c r="C56" i="5"/>
  <c r="I55" i="5"/>
  <c r="O54" i="5"/>
  <c r="G54" i="5"/>
  <c r="M53" i="5"/>
  <c r="E53" i="5"/>
  <c r="K52" i="5"/>
  <c r="L61" i="5"/>
  <c r="D61" i="5"/>
  <c r="J60" i="5"/>
  <c r="B60" i="5"/>
  <c r="H59" i="5"/>
  <c r="N58" i="5"/>
  <c r="F58" i="5"/>
  <c r="L57" i="5"/>
  <c r="D57" i="5"/>
  <c r="J56" i="5"/>
  <c r="B56" i="5"/>
  <c r="H55" i="5"/>
  <c r="N54" i="5"/>
  <c r="F54" i="5"/>
  <c r="J61" i="5"/>
  <c r="B61" i="5"/>
  <c r="H60" i="5"/>
  <c r="N59" i="5"/>
  <c r="F59" i="5"/>
  <c r="L58" i="5"/>
  <c r="D58" i="5"/>
  <c r="J57" i="5"/>
  <c r="B57" i="5"/>
  <c r="H56" i="5"/>
  <c r="N55" i="5"/>
  <c r="F55" i="5"/>
  <c r="L54" i="5"/>
  <c r="D54" i="5"/>
  <c r="J53" i="5"/>
  <c r="B53" i="5"/>
  <c r="H52" i="5"/>
  <c r="N51" i="5"/>
  <c r="F51" i="5"/>
  <c r="O60" i="5"/>
  <c r="G59" i="5"/>
  <c r="B58" i="5"/>
  <c r="M56" i="5"/>
  <c r="K55" i="5"/>
  <c r="I54" i="5"/>
  <c r="H53" i="5"/>
  <c r="I52" i="5"/>
  <c r="L51" i="5"/>
  <c r="B51" i="5"/>
  <c r="H50" i="5"/>
  <c r="N49" i="5"/>
  <c r="F49" i="5"/>
  <c r="L48" i="5"/>
  <c r="D48" i="5"/>
  <c r="J47" i="5"/>
  <c r="B47" i="5"/>
  <c r="H46" i="5"/>
  <c r="N45" i="5"/>
  <c r="F45" i="5"/>
  <c r="L44" i="5"/>
  <c r="D44" i="5"/>
  <c r="J43" i="5"/>
  <c r="B43" i="5"/>
  <c r="H42" i="5"/>
  <c r="N41" i="5"/>
  <c r="F41" i="5"/>
  <c r="L40" i="5"/>
  <c r="D40" i="5"/>
  <c r="J39" i="5"/>
  <c r="B39" i="5"/>
  <c r="H38" i="5"/>
  <c r="N37" i="5"/>
  <c r="F37" i="5"/>
  <c r="L36" i="5"/>
  <c r="D36" i="5"/>
  <c r="J35" i="5"/>
  <c r="B35" i="5"/>
  <c r="H34" i="5"/>
  <c r="N33" i="5"/>
  <c r="F33" i="5"/>
  <c r="L32" i="5"/>
  <c r="D32" i="5"/>
  <c r="J31" i="5"/>
  <c r="B31" i="5"/>
  <c r="H30" i="5"/>
  <c r="N29" i="5"/>
  <c r="F29" i="5"/>
  <c r="L28" i="5"/>
  <c r="D28" i="5"/>
  <c r="J27" i="5"/>
  <c r="B27" i="5"/>
  <c r="H26" i="5"/>
  <c r="N25" i="5"/>
  <c r="F25" i="5"/>
  <c r="L24" i="5"/>
  <c r="D24" i="5"/>
  <c r="J23" i="5"/>
  <c r="B23" i="5"/>
  <c r="N60" i="5"/>
  <c r="E59" i="5"/>
  <c r="K57" i="5"/>
  <c r="I56" i="5"/>
  <c r="G55" i="5"/>
  <c r="E54" i="5"/>
  <c r="G53" i="5"/>
  <c r="G52" i="5"/>
  <c r="K51" i="5"/>
  <c r="O50" i="5"/>
  <c r="G50" i="5"/>
  <c r="M49" i="5"/>
  <c r="E49" i="5"/>
  <c r="K48" i="5"/>
  <c r="C48" i="5"/>
  <c r="I47" i="5"/>
  <c r="O46" i="5"/>
  <c r="G46" i="5"/>
  <c r="M45" i="5"/>
  <c r="E45" i="5"/>
  <c r="K44" i="5"/>
  <c r="C44" i="5"/>
  <c r="I43" i="5"/>
  <c r="O42" i="5"/>
  <c r="G42" i="5"/>
  <c r="M41" i="5"/>
  <c r="E41" i="5"/>
  <c r="K40" i="5"/>
  <c r="C40" i="5"/>
  <c r="I39" i="5"/>
  <c r="O38" i="5"/>
  <c r="G38" i="5"/>
  <c r="M37" i="5"/>
  <c r="E37" i="5"/>
  <c r="K36" i="5"/>
  <c r="C36" i="5"/>
  <c r="I35" i="5"/>
  <c r="O34" i="5"/>
  <c r="G34" i="5"/>
  <c r="M33" i="5"/>
  <c r="E33" i="5"/>
  <c r="K32" i="5"/>
  <c r="C32" i="5"/>
  <c r="I31" i="5"/>
  <c r="O30" i="5"/>
  <c r="G30" i="5"/>
  <c r="M29" i="5"/>
  <c r="E29" i="5"/>
  <c r="K28" i="5"/>
  <c r="C28" i="5"/>
  <c r="I27" i="5"/>
  <c r="O26" i="5"/>
  <c r="G26" i="5"/>
  <c r="M25" i="5"/>
  <c r="E25" i="5"/>
  <c r="K24" i="5"/>
  <c r="C24" i="5"/>
  <c r="I23" i="5"/>
  <c r="O22" i="5"/>
  <c r="G22" i="5"/>
  <c r="G60" i="5"/>
  <c r="M58" i="5"/>
  <c r="H57" i="5"/>
  <c r="F56" i="5"/>
  <c r="D55" i="5"/>
  <c r="B54" i="5"/>
  <c r="C53" i="5"/>
  <c r="E52" i="5"/>
  <c r="H51" i="5"/>
  <c r="M50" i="5"/>
  <c r="E50" i="5"/>
  <c r="K49" i="5"/>
  <c r="C49" i="5"/>
  <c r="I48" i="5"/>
  <c r="O47" i="5"/>
  <c r="G47" i="5"/>
  <c r="M46" i="5"/>
  <c r="E46" i="5"/>
  <c r="K45" i="5"/>
  <c r="C45" i="5"/>
  <c r="I44" i="5"/>
  <c r="O43" i="5"/>
  <c r="G43" i="5"/>
  <c r="M42" i="5"/>
  <c r="E42" i="5"/>
  <c r="K41" i="5"/>
  <c r="C41" i="5"/>
  <c r="I40" i="5"/>
  <c r="O39" i="5"/>
  <c r="G39" i="5"/>
  <c r="M38" i="5"/>
  <c r="E38" i="5"/>
  <c r="K37" i="5"/>
  <c r="C37" i="5"/>
  <c r="I36" i="5"/>
  <c r="O35" i="5"/>
  <c r="G35" i="5"/>
  <c r="M34" i="5"/>
  <c r="E34" i="5"/>
  <c r="K33" i="5"/>
  <c r="C33" i="5"/>
  <c r="I32" i="5"/>
  <c r="O31" i="5"/>
  <c r="G31" i="5"/>
  <c r="M30" i="5"/>
  <c r="E30" i="5"/>
  <c r="K29" i="5"/>
  <c r="C29" i="5"/>
  <c r="I28" i="5"/>
  <c r="O27" i="5"/>
  <c r="G27" i="5"/>
  <c r="M26" i="5"/>
  <c r="E26" i="5"/>
  <c r="K25" i="5"/>
  <c r="C25" i="5"/>
  <c r="I24" i="5"/>
  <c r="O23" i="5"/>
  <c r="G23" i="5"/>
  <c r="M22" i="5"/>
  <c r="I61" i="5"/>
  <c r="O59" i="5"/>
  <c r="J58" i="5"/>
  <c r="C57" i="5"/>
  <c r="O55" i="5"/>
  <c r="M54" i="5"/>
  <c r="L53" i="5"/>
  <c r="N52" i="5"/>
  <c r="B52" i="5"/>
  <c r="E51" i="5"/>
  <c r="K50" i="5"/>
  <c r="C50" i="5"/>
  <c r="I49" i="5"/>
  <c r="O48" i="5"/>
  <c r="G48" i="5"/>
  <c r="M47" i="5"/>
  <c r="E47" i="5"/>
  <c r="K46" i="5"/>
  <c r="C46" i="5"/>
  <c r="I45" i="5"/>
  <c r="O44" i="5"/>
  <c r="G44" i="5"/>
  <c r="M43" i="5"/>
  <c r="E43" i="5"/>
  <c r="K42" i="5"/>
  <c r="C42" i="5"/>
  <c r="I41" i="5"/>
  <c r="O40" i="5"/>
  <c r="G40" i="5"/>
  <c r="M39" i="5"/>
  <c r="E39" i="5"/>
  <c r="K38" i="5"/>
  <c r="C38" i="5"/>
  <c r="I37" i="5"/>
  <c r="O36" i="5"/>
  <c r="G36" i="5"/>
  <c r="M35" i="5"/>
  <c r="E35" i="5"/>
  <c r="K34" i="5"/>
  <c r="C34" i="5"/>
  <c r="I33" i="5"/>
  <c r="O32" i="5"/>
  <c r="G32" i="5"/>
  <c r="M31" i="5"/>
  <c r="E31" i="5"/>
  <c r="K30" i="5"/>
  <c r="C30" i="5"/>
  <c r="I29" i="5"/>
  <c r="O28" i="5"/>
  <c r="G28" i="5"/>
  <c r="M27" i="5"/>
  <c r="E27" i="5"/>
  <c r="K26" i="5"/>
  <c r="C26" i="5"/>
  <c r="I25" i="5"/>
  <c r="O24" i="5"/>
  <c r="G24" i="5"/>
  <c r="M23" i="5"/>
  <c r="E23" i="5"/>
  <c r="K22" i="5"/>
  <c r="M59" i="5"/>
  <c r="O56" i="5"/>
  <c r="K54" i="5"/>
  <c r="M52" i="5"/>
  <c r="D51" i="5"/>
  <c r="B50" i="5"/>
  <c r="N48" i="5"/>
  <c r="L47" i="5"/>
  <c r="J46" i="5"/>
  <c r="H45" i="5"/>
  <c r="F44" i="5"/>
  <c r="D43" i="5"/>
  <c r="B42" i="5"/>
  <c r="N40" i="5"/>
  <c r="L39" i="5"/>
  <c r="J38" i="5"/>
  <c r="H37" i="5"/>
  <c r="F36" i="5"/>
  <c r="D35" i="5"/>
  <c r="B34" i="5"/>
  <c r="N32" i="5"/>
  <c r="L31" i="5"/>
  <c r="J30" i="5"/>
  <c r="H29" i="5"/>
  <c r="F28" i="5"/>
  <c r="D27" i="5"/>
  <c r="B26" i="5"/>
  <c r="N24" i="5"/>
  <c r="L23" i="5"/>
  <c r="J22" i="5"/>
  <c r="O21" i="5"/>
  <c r="G21" i="5"/>
  <c r="M20" i="5"/>
  <c r="E20" i="5"/>
  <c r="K19" i="5"/>
  <c r="C19" i="5"/>
  <c r="I18" i="5"/>
  <c r="O17" i="5"/>
  <c r="G17" i="5"/>
  <c r="M16" i="5"/>
  <c r="E16" i="5"/>
  <c r="K15" i="5"/>
  <c r="C15" i="5"/>
  <c r="I14" i="5"/>
  <c r="O13" i="5"/>
  <c r="G13" i="5"/>
  <c r="M12" i="5"/>
  <c r="E12" i="5"/>
  <c r="K11" i="5"/>
  <c r="C11" i="5"/>
  <c r="I10" i="5"/>
  <c r="O9" i="5"/>
  <c r="G9" i="5"/>
  <c r="M8" i="5"/>
  <c r="E8" i="5"/>
  <c r="K7" i="5"/>
  <c r="C7" i="5"/>
  <c r="I6" i="5"/>
  <c r="O5" i="5"/>
  <c r="G5" i="5"/>
  <c r="M4" i="5"/>
  <c r="E4" i="5"/>
  <c r="K3" i="5"/>
  <c r="C3" i="5"/>
  <c r="I2" i="5"/>
  <c r="G51" i="5"/>
  <c r="H44" i="5"/>
  <c r="J37" i="5"/>
  <c r="L30" i="5"/>
  <c r="D26" i="5"/>
  <c r="L19" i="5"/>
  <c r="D15" i="5"/>
  <c r="J10" i="5"/>
  <c r="D7" i="5"/>
  <c r="D3" i="5"/>
  <c r="L59" i="5"/>
  <c r="N56" i="5"/>
  <c r="J54" i="5"/>
  <c r="J52" i="5"/>
  <c r="C51" i="5"/>
  <c r="O49" i="5"/>
  <c r="M48" i="5"/>
  <c r="K47" i="5"/>
  <c r="I46" i="5"/>
  <c r="G45" i="5"/>
  <c r="E44" i="5"/>
  <c r="C43" i="5"/>
  <c r="O41" i="5"/>
  <c r="M40" i="5"/>
  <c r="K39" i="5"/>
  <c r="I38" i="5"/>
  <c r="G37" i="5"/>
  <c r="E36" i="5"/>
  <c r="C35" i="5"/>
  <c r="O33" i="5"/>
  <c r="M32" i="5"/>
  <c r="K31" i="5"/>
  <c r="I30" i="5"/>
  <c r="G29" i="5"/>
  <c r="E28" i="5"/>
  <c r="C27" i="5"/>
  <c r="O25" i="5"/>
  <c r="M24" i="5"/>
  <c r="K23" i="5"/>
  <c r="I22" i="5"/>
  <c r="N21" i="5"/>
  <c r="F21" i="5"/>
  <c r="L20" i="5"/>
  <c r="D20" i="5"/>
  <c r="J19" i="5"/>
  <c r="B19" i="5"/>
  <c r="H18" i="5"/>
  <c r="N17" i="5"/>
  <c r="F17" i="5"/>
  <c r="L16" i="5"/>
  <c r="D16" i="5"/>
  <c r="J15" i="5"/>
  <c r="B15" i="5"/>
  <c r="H14" i="5"/>
  <c r="N13" i="5"/>
  <c r="F13" i="5"/>
  <c r="L12" i="5"/>
  <c r="D12" i="5"/>
  <c r="J11" i="5"/>
  <c r="B11" i="5"/>
  <c r="H10" i="5"/>
  <c r="N9" i="5"/>
  <c r="F9" i="5"/>
  <c r="L8" i="5"/>
  <c r="D8" i="5"/>
  <c r="J7" i="5"/>
  <c r="B7" i="5"/>
  <c r="H6" i="5"/>
  <c r="N5" i="5"/>
  <c r="F5" i="5"/>
  <c r="L4" i="5"/>
  <c r="D4" i="5"/>
  <c r="J3" i="5"/>
  <c r="B3" i="5"/>
  <c r="H2" i="5"/>
  <c r="B33" i="5"/>
  <c r="F20" i="5"/>
  <c r="L15" i="5"/>
  <c r="L11" i="5"/>
  <c r="L7" i="5"/>
  <c r="J2" i="5"/>
  <c r="D59" i="5"/>
  <c r="G56" i="5"/>
  <c r="C54" i="5"/>
  <c r="F52" i="5"/>
  <c r="N50" i="5"/>
  <c r="L49" i="5"/>
  <c r="J48" i="5"/>
  <c r="H47" i="5"/>
  <c r="F46" i="5"/>
  <c r="D45" i="5"/>
  <c r="B44" i="5"/>
  <c r="N42" i="5"/>
  <c r="L41" i="5"/>
  <c r="J40" i="5"/>
  <c r="H39" i="5"/>
  <c r="F38" i="5"/>
  <c r="D37" i="5"/>
  <c r="B36" i="5"/>
  <c r="N34" i="5"/>
  <c r="L33" i="5"/>
  <c r="J32" i="5"/>
  <c r="H31" i="5"/>
  <c r="F30" i="5"/>
  <c r="D29" i="5"/>
  <c r="B28" i="5"/>
  <c r="N26" i="5"/>
  <c r="L25" i="5"/>
  <c r="J24" i="5"/>
  <c r="H23" i="5"/>
  <c r="H22" i="5"/>
  <c r="M21" i="5"/>
  <c r="E21" i="5"/>
  <c r="K20" i="5"/>
  <c r="C20" i="5"/>
  <c r="I19" i="5"/>
  <c r="O18" i="5"/>
  <c r="G18" i="5"/>
  <c r="M17" i="5"/>
  <c r="E17" i="5"/>
  <c r="K16" i="5"/>
  <c r="C16" i="5"/>
  <c r="I15" i="5"/>
  <c r="O14" i="5"/>
  <c r="G14" i="5"/>
  <c r="M13" i="5"/>
  <c r="E13" i="5"/>
  <c r="K12" i="5"/>
  <c r="C12" i="5"/>
  <c r="I11" i="5"/>
  <c r="O10" i="5"/>
  <c r="G10" i="5"/>
  <c r="M9" i="5"/>
  <c r="E9" i="5"/>
  <c r="K8" i="5"/>
  <c r="C8" i="5"/>
  <c r="I7" i="5"/>
  <c r="O6" i="5"/>
  <c r="G6" i="5"/>
  <c r="M5" i="5"/>
  <c r="E5" i="5"/>
  <c r="K4" i="5"/>
  <c r="C4" i="5"/>
  <c r="I3" i="5"/>
  <c r="O2" i="5"/>
  <c r="G2" i="5"/>
  <c r="N47" i="5"/>
  <c r="N39" i="5"/>
  <c r="J29" i="5"/>
  <c r="L22" i="5"/>
  <c r="J18" i="5"/>
  <c r="B14" i="5"/>
  <c r="H9" i="5"/>
  <c r="N4" i="5"/>
  <c r="K61" i="5"/>
  <c r="K58" i="5"/>
  <c r="E56" i="5"/>
  <c r="O53" i="5"/>
  <c r="C52" i="5"/>
  <c r="L50" i="5"/>
  <c r="J49" i="5"/>
  <c r="H48" i="5"/>
  <c r="F47" i="5"/>
  <c r="D46" i="5"/>
  <c r="B45" i="5"/>
  <c r="N43" i="5"/>
  <c r="L42" i="5"/>
  <c r="J41" i="5"/>
  <c r="H40" i="5"/>
  <c r="F39" i="5"/>
  <c r="D38" i="5"/>
  <c r="B37" i="5"/>
  <c r="N35" i="5"/>
  <c r="L34" i="5"/>
  <c r="J33" i="5"/>
  <c r="H32" i="5"/>
  <c r="F31" i="5"/>
  <c r="D30" i="5"/>
  <c r="B29" i="5"/>
  <c r="N27" i="5"/>
  <c r="L26" i="5"/>
  <c r="J25" i="5"/>
  <c r="H24" i="5"/>
  <c r="F23" i="5"/>
  <c r="F22" i="5"/>
  <c r="L21" i="5"/>
  <c r="D21" i="5"/>
  <c r="J20" i="5"/>
  <c r="B20" i="5"/>
  <c r="H19" i="5"/>
  <c r="N18" i="5"/>
  <c r="F18" i="5"/>
  <c r="L17" i="5"/>
  <c r="D17" i="5"/>
  <c r="J16" i="5"/>
  <c r="B16" i="5"/>
  <c r="H15" i="5"/>
  <c r="N14" i="5"/>
  <c r="F14" i="5"/>
  <c r="L13" i="5"/>
  <c r="D13" i="5"/>
  <c r="J12" i="5"/>
  <c r="B12" i="5"/>
  <c r="H11" i="5"/>
  <c r="N10" i="5"/>
  <c r="F10" i="5"/>
  <c r="L9" i="5"/>
  <c r="D9" i="5"/>
  <c r="J8" i="5"/>
  <c r="B8" i="5"/>
  <c r="H7" i="5"/>
  <c r="N6" i="5"/>
  <c r="F6" i="5"/>
  <c r="L5" i="5"/>
  <c r="D5" i="5"/>
  <c r="J4" i="5"/>
  <c r="B4" i="5"/>
  <c r="H3" i="5"/>
  <c r="N2" i="5"/>
  <c r="F2" i="5"/>
  <c r="H36" i="5"/>
  <c r="B22" i="5"/>
  <c r="H17" i="5"/>
  <c r="N12" i="5"/>
  <c r="F8" i="5"/>
  <c r="F4" i="5"/>
  <c r="H61" i="5"/>
  <c r="E58" i="5"/>
  <c r="M55" i="5"/>
  <c r="K53" i="5"/>
  <c r="O51" i="5"/>
  <c r="J50" i="5"/>
  <c r="H49" i="5"/>
  <c r="F48" i="5"/>
  <c r="D47" i="5"/>
  <c r="B46" i="5"/>
  <c r="N44" i="5"/>
  <c r="L43" i="5"/>
  <c r="J42" i="5"/>
  <c r="H41" i="5"/>
  <c r="F40" i="5"/>
  <c r="D39" i="5"/>
  <c r="B38" i="5"/>
  <c r="N36" i="5"/>
  <c r="L35" i="5"/>
  <c r="J34" i="5"/>
  <c r="H33" i="5"/>
  <c r="F32" i="5"/>
  <c r="D31" i="5"/>
  <c r="B30" i="5"/>
  <c r="N28" i="5"/>
  <c r="L27" i="5"/>
  <c r="J26" i="5"/>
  <c r="H25" i="5"/>
  <c r="F24" i="5"/>
  <c r="D23" i="5"/>
  <c r="E22" i="5"/>
  <c r="K21" i="5"/>
  <c r="C21" i="5"/>
  <c r="I20" i="5"/>
  <c r="O19" i="5"/>
  <c r="G19" i="5"/>
  <c r="M18" i="5"/>
  <c r="E18" i="5"/>
  <c r="K17" i="5"/>
  <c r="C17" i="5"/>
  <c r="I16" i="5"/>
  <c r="O15" i="5"/>
  <c r="G15" i="5"/>
  <c r="M14" i="5"/>
  <c r="E14" i="5"/>
  <c r="K13" i="5"/>
  <c r="C13" i="5"/>
  <c r="I12" i="5"/>
  <c r="O11" i="5"/>
  <c r="G11" i="5"/>
  <c r="M10" i="5"/>
  <c r="E10" i="5"/>
  <c r="K9" i="5"/>
  <c r="C9" i="5"/>
  <c r="I8" i="5"/>
  <c r="O7" i="5"/>
  <c r="G7" i="5"/>
  <c r="M6" i="5"/>
  <c r="E6" i="5"/>
  <c r="K5" i="5"/>
  <c r="C5" i="5"/>
  <c r="I4" i="5"/>
  <c r="O3" i="5"/>
  <c r="G3" i="5"/>
  <c r="M2" i="5"/>
  <c r="E2" i="5"/>
  <c r="L38" i="5"/>
  <c r="B25" i="5"/>
  <c r="D19" i="5"/>
  <c r="J14" i="5"/>
  <c r="B10" i="5"/>
  <c r="H5" i="5"/>
  <c r="C61" i="5"/>
  <c r="C58" i="5"/>
  <c r="L55" i="5"/>
  <c r="I53" i="5"/>
  <c r="M51" i="5"/>
  <c r="I50" i="5"/>
  <c r="G49" i="5"/>
  <c r="E48" i="5"/>
  <c r="C47" i="5"/>
  <c r="O45" i="5"/>
  <c r="M44" i="5"/>
  <c r="K43" i="5"/>
  <c r="I42" i="5"/>
  <c r="G41" i="5"/>
  <c r="E40" i="5"/>
  <c r="C39" i="5"/>
  <c r="O37" i="5"/>
  <c r="M36" i="5"/>
  <c r="K35" i="5"/>
  <c r="I34" i="5"/>
  <c r="G33" i="5"/>
  <c r="E32" i="5"/>
  <c r="C31" i="5"/>
  <c r="O29" i="5"/>
  <c r="M28" i="5"/>
  <c r="K27" i="5"/>
  <c r="I26" i="5"/>
  <c r="G25" i="5"/>
  <c r="E24" i="5"/>
  <c r="C23" i="5"/>
  <c r="D22" i="5"/>
  <c r="J21" i="5"/>
  <c r="B21" i="5"/>
  <c r="H20" i="5"/>
  <c r="N19" i="5"/>
  <c r="F19" i="5"/>
  <c r="L18" i="5"/>
  <c r="D18" i="5"/>
  <c r="J17" i="5"/>
  <c r="B17" i="5"/>
  <c r="H16" i="5"/>
  <c r="N15" i="5"/>
  <c r="F15" i="5"/>
  <c r="L14" i="5"/>
  <c r="D14" i="5"/>
  <c r="J13" i="5"/>
  <c r="B13" i="5"/>
  <c r="H12" i="5"/>
  <c r="N11" i="5"/>
  <c r="F11" i="5"/>
  <c r="L10" i="5"/>
  <c r="D10" i="5"/>
  <c r="J9" i="5"/>
  <c r="B9" i="5"/>
  <c r="H8" i="5"/>
  <c r="N7" i="5"/>
  <c r="F7" i="5"/>
  <c r="L6" i="5"/>
  <c r="D6" i="5"/>
  <c r="J5" i="5"/>
  <c r="B5" i="5"/>
  <c r="H4" i="5"/>
  <c r="N3" i="5"/>
  <c r="F3" i="5"/>
  <c r="L2" i="5"/>
  <c r="D2" i="5"/>
  <c r="F43" i="5"/>
  <c r="N31" i="5"/>
  <c r="N23" i="5"/>
  <c r="B18" i="5"/>
  <c r="H13" i="5"/>
  <c r="N8" i="5"/>
  <c r="L3" i="5"/>
  <c r="I60" i="5"/>
  <c r="I57" i="5"/>
  <c r="E55" i="5"/>
  <c r="D53" i="5"/>
  <c r="I51" i="5"/>
  <c r="F50" i="5"/>
  <c r="D49" i="5"/>
  <c r="B48" i="5"/>
  <c r="N46" i="5"/>
  <c r="L45" i="5"/>
  <c r="J44" i="5"/>
  <c r="H43" i="5"/>
  <c r="F42" i="5"/>
  <c r="D41" i="5"/>
  <c r="B40" i="5"/>
  <c r="N38" i="5"/>
  <c r="L37" i="5"/>
  <c r="J36" i="5"/>
  <c r="H35" i="5"/>
  <c r="F34" i="5"/>
  <c r="D33" i="5"/>
  <c r="B32" i="5"/>
  <c r="N30" i="5"/>
  <c r="L29" i="5"/>
  <c r="J28" i="5"/>
  <c r="H27" i="5"/>
  <c r="F26" i="5"/>
  <c r="D25" i="5"/>
  <c r="B24" i="5"/>
  <c r="N22" i="5"/>
  <c r="C22" i="5"/>
  <c r="I21" i="5"/>
  <c r="O20" i="5"/>
  <c r="G20" i="5"/>
  <c r="M19" i="5"/>
  <c r="E19" i="5"/>
  <c r="K18" i="5"/>
  <c r="C18" i="5"/>
  <c r="I17" i="5"/>
  <c r="O16" i="5"/>
  <c r="G16" i="5"/>
  <c r="M15" i="5"/>
  <c r="E15" i="5"/>
  <c r="K14" i="5"/>
  <c r="C14" i="5"/>
  <c r="I13" i="5"/>
  <c r="O12" i="5"/>
  <c r="G12" i="5"/>
  <c r="M11" i="5"/>
  <c r="E11" i="5"/>
  <c r="K10" i="5"/>
  <c r="C10" i="5"/>
  <c r="I9" i="5"/>
  <c r="O8" i="5"/>
  <c r="G8" i="5"/>
  <c r="M7" i="5"/>
  <c r="E7" i="5"/>
  <c r="K6" i="5"/>
  <c r="C6" i="5"/>
  <c r="I5" i="5"/>
  <c r="O4" i="5"/>
  <c r="G4" i="5"/>
  <c r="M3" i="5"/>
  <c r="E3" i="5"/>
  <c r="K2" i="5"/>
  <c r="C2" i="5"/>
  <c r="G57" i="5"/>
  <c r="O52" i="5"/>
  <c r="B49" i="5"/>
  <c r="J45" i="5"/>
  <c r="B41" i="5"/>
  <c r="D34" i="5"/>
  <c r="F27" i="5"/>
  <c r="N20" i="5"/>
  <c r="F16" i="5"/>
  <c r="D11" i="5"/>
  <c r="B6" i="5"/>
  <c r="B2" i="5"/>
  <c r="F60" i="5"/>
  <c r="C55" i="5"/>
  <c r="D50" i="5"/>
  <c r="L46" i="5"/>
  <c r="D42" i="5"/>
  <c r="F35" i="5"/>
  <c r="H28" i="5"/>
  <c r="H21" i="5"/>
  <c r="N16" i="5"/>
  <c r="F12" i="5"/>
  <c r="J6" i="5"/>
  <c r="A2" i="6" l="1" a="1"/>
  <c r="A2" i="6" s="1"/>
  <c r="AG2" i="6"/>
  <c r="AW2" i="6"/>
  <c r="BE2" i="6"/>
  <c r="M2" i="6"/>
  <c r="AC2" i="6"/>
  <c r="AK2" i="6"/>
  <c r="R2" i="6"/>
  <c r="AM2" i="6"/>
  <c r="AX2" i="6"/>
  <c r="AH3" i="6"/>
  <c r="AX3" i="6"/>
  <c r="BF3" i="6"/>
  <c r="AL4" i="6"/>
  <c r="BB4" i="6"/>
  <c r="B5" i="6"/>
  <c r="AP5" i="6"/>
  <c r="BF5" i="6"/>
  <c r="F6" i="6"/>
  <c r="AT6" i="6"/>
  <c r="B7" i="6"/>
  <c r="J7" i="6"/>
  <c r="AX7" i="6"/>
  <c r="F8" i="6"/>
  <c r="N8" i="6"/>
  <c r="BB8" i="6"/>
  <c r="J9" i="6"/>
  <c r="R9" i="6"/>
  <c r="BF9" i="6"/>
  <c r="N10" i="6"/>
  <c r="V10" i="6"/>
  <c r="G2" i="6"/>
  <c r="AD2" i="6"/>
  <c r="AN2" i="6"/>
  <c r="AA3" i="6"/>
  <c r="AQ3" i="6"/>
  <c r="AY3" i="6"/>
  <c r="AE4" i="6"/>
  <c r="AU4" i="6"/>
  <c r="BC4" i="6"/>
  <c r="AI5" i="6"/>
  <c r="AY5" i="6"/>
  <c r="BG5" i="6"/>
  <c r="AM6" i="6"/>
  <c r="BC6" i="6"/>
  <c r="C7" i="6"/>
  <c r="AQ7" i="6"/>
  <c r="BG7" i="6"/>
  <c r="G8" i="6"/>
  <c r="AU8" i="6"/>
  <c r="C9" i="6"/>
  <c r="K9" i="6"/>
  <c r="AY9" i="6"/>
  <c r="G10" i="6"/>
  <c r="O10" i="6"/>
  <c r="AP2" i="6"/>
  <c r="C3" i="6"/>
  <c r="L3" i="6"/>
  <c r="AZ3" i="6"/>
  <c r="H4" i="6"/>
  <c r="P4" i="6"/>
  <c r="BD4" i="6"/>
  <c r="L5" i="6"/>
  <c r="T5" i="6"/>
  <c r="BH5" i="6"/>
  <c r="P6" i="6"/>
  <c r="X6" i="6"/>
  <c r="D7" i="6"/>
  <c r="T7" i="6"/>
  <c r="AB7" i="6"/>
  <c r="H8" i="6"/>
  <c r="X8" i="6"/>
  <c r="AF8" i="6"/>
  <c r="L9" i="6"/>
  <c r="AB9" i="6"/>
  <c r="AJ9" i="6"/>
  <c r="P10" i="6"/>
  <c r="AF10" i="6"/>
  <c r="AN10" i="6"/>
  <c r="BB2" i="6"/>
  <c r="M3" i="6"/>
  <c r="U3" i="6"/>
  <c r="A4" i="6"/>
  <c r="Q4" i="6"/>
  <c r="Y4" i="6"/>
  <c r="E5" i="6"/>
  <c r="U5" i="6"/>
  <c r="AC5" i="6"/>
  <c r="I6" i="6"/>
  <c r="Y6" i="6"/>
  <c r="AG6" i="6"/>
  <c r="M7" i="6"/>
  <c r="AC7" i="6"/>
  <c r="AK7" i="6"/>
  <c r="Q8" i="6"/>
  <c r="AG8" i="6"/>
  <c r="AO8" i="6"/>
  <c r="U9" i="6"/>
  <c r="AK9" i="6"/>
  <c r="AS9" i="6"/>
  <c r="AR2" i="6"/>
  <c r="F3" i="6"/>
  <c r="N3" i="6"/>
  <c r="BB3" i="6"/>
  <c r="J4" i="6"/>
  <c r="R4" i="6"/>
  <c r="BF4" i="6"/>
  <c r="N5" i="6"/>
  <c r="V5" i="6"/>
  <c r="B6" i="6"/>
  <c r="R6" i="6"/>
  <c r="Z6" i="6"/>
  <c r="F7" i="6"/>
  <c r="V7" i="6"/>
  <c r="AD7" i="6"/>
  <c r="J8" i="6"/>
  <c r="Z8" i="6"/>
  <c r="AH8" i="6"/>
  <c r="N9" i="6"/>
  <c r="AD9" i="6"/>
  <c r="AL9" i="6"/>
  <c r="R10" i="6"/>
  <c r="AH10" i="6"/>
  <c r="AP10" i="6"/>
  <c r="AJ2" i="6"/>
  <c r="BF2" i="6"/>
  <c r="H3" i="6"/>
  <c r="AV3" i="6"/>
  <c r="D4" i="6"/>
  <c r="L4" i="6"/>
  <c r="AZ4" i="6"/>
  <c r="H5" i="6"/>
  <c r="P5" i="6"/>
  <c r="BD5" i="6"/>
  <c r="L6" i="6"/>
  <c r="T6" i="6"/>
  <c r="BH6" i="6"/>
  <c r="P7" i="6"/>
  <c r="X7" i="6"/>
  <c r="D8" i="6"/>
  <c r="T8" i="6"/>
  <c r="AB8" i="6"/>
  <c r="BH8" i="6"/>
  <c r="H9" i="6"/>
  <c r="X9" i="6"/>
  <c r="AF9" i="6"/>
  <c r="N2" i="6"/>
  <c r="BD2" i="6"/>
  <c r="C4" i="6"/>
  <c r="AI4" i="6"/>
  <c r="AQ6" i="6"/>
  <c r="O7" i="6"/>
  <c r="S8" i="6"/>
  <c r="AY8" i="6"/>
  <c r="AB10" i="6"/>
  <c r="AO10" i="6"/>
  <c r="AZ10" i="6"/>
  <c r="A11" i="6"/>
  <c r="I11" i="6"/>
  <c r="AO11" i="6"/>
  <c r="AW11" i="6"/>
  <c r="BE11" i="6"/>
  <c r="E12" i="6"/>
  <c r="M12" i="6"/>
  <c r="AS12" i="6"/>
  <c r="BA12" i="6"/>
  <c r="A13" i="6"/>
  <c r="I13" i="6"/>
  <c r="Q13" i="6"/>
  <c r="AW13" i="6"/>
  <c r="BE13" i="6"/>
  <c r="E14" i="6"/>
  <c r="M14" i="6"/>
  <c r="U14" i="6"/>
  <c r="BA14" i="6"/>
  <c r="A15" i="6"/>
  <c r="I15" i="6"/>
  <c r="Q15" i="6"/>
  <c r="Y15" i="6"/>
  <c r="BE15" i="6"/>
  <c r="E16" i="6"/>
  <c r="M16" i="6"/>
  <c r="U16" i="6"/>
  <c r="AC16" i="6"/>
  <c r="P2" i="6"/>
  <c r="BG2" i="6"/>
  <c r="AG3" i="6"/>
  <c r="E4" i="6"/>
  <c r="AK4" i="6"/>
  <c r="AS6" i="6"/>
  <c r="Q7" i="6"/>
  <c r="AW7" i="6"/>
  <c r="U8" i="6"/>
  <c r="BA8" i="6"/>
  <c r="AC10" i="6"/>
  <c r="AQ10" i="6"/>
  <c r="BA10" i="6"/>
  <c r="B11" i="6"/>
  <c r="J11" i="6"/>
  <c r="AP11" i="6"/>
  <c r="AX11" i="6"/>
  <c r="BF11" i="6"/>
  <c r="F12" i="6"/>
  <c r="N12" i="6"/>
  <c r="AT12" i="6"/>
  <c r="BB12" i="6"/>
  <c r="B13" i="6"/>
  <c r="J13" i="6"/>
  <c r="R13" i="6"/>
  <c r="AX13" i="6"/>
  <c r="BF13" i="6"/>
  <c r="F14" i="6"/>
  <c r="N14" i="6"/>
  <c r="V14" i="6"/>
  <c r="BB14" i="6"/>
  <c r="B15" i="6"/>
  <c r="J15" i="6"/>
  <c r="R15" i="6"/>
  <c r="Z15" i="6"/>
  <c r="BF15" i="6"/>
  <c r="F16" i="6"/>
  <c r="N16" i="6"/>
  <c r="V16" i="6"/>
  <c r="AD16" i="6"/>
  <c r="X2" i="6"/>
  <c r="G3" i="6"/>
  <c r="AM3" i="6"/>
  <c r="K4" i="6"/>
  <c r="AQ4" i="6"/>
  <c r="AY6" i="6"/>
  <c r="W7" i="6"/>
  <c r="BC7" i="6"/>
  <c r="AA8" i="6"/>
  <c r="BG8" i="6"/>
  <c r="AE10" i="6"/>
  <c r="AR10" i="6"/>
  <c r="BC10" i="6"/>
  <c r="C11" i="6"/>
  <c r="K11" i="6"/>
  <c r="AQ11" i="6"/>
  <c r="AY11" i="6"/>
  <c r="BG11" i="6"/>
  <c r="G12" i="6"/>
  <c r="O12" i="6"/>
  <c r="AU12" i="6"/>
  <c r="BC12" i="6"/>
  <c r="C13" i="6"/>
  <c r="K13" i="6"/>
  <c r="S13" i="6"/>
  <c r="AY13" i="6"/>
  <c r="BG13" i="6"/>
  <c r="G14" i="6"/>
  <c r="O14" i="6"/>
  <c r="W14" i="6"/>
  <c r="BC14" i="6"/>
  <c r="C15" i="6"/>
  <c r="K15" i="6"/>
  <c r="S15" i="6"/>
  <c r="AA15" i="6"/>
  <c r="BG15" i="6"/>
  <c r="G16" i="6"/>
  <c r="O16" i="6"/>
  <c r="W16" i="6"/>
  <c r="AE16" i="6"/>
  <c r="AA2" i="6"/>
  <c r="I3" i="6"/>
  <c r="AO3" i="6"/>
  <c r="M4" i="6"/>
  <c r="AS4" i="6"/>
  <c r="BA6" i="6"/>
  <c r="Y7" i="6"/>
  <c r="BE7" i="6"/>
  <c r="AC8" i="6"/>
  <c r="A9" i="6"/>
  <c r="AG10" i="6"/>
  <c r="AS10" i="6"/>
  <c r="BD10" i="6"/>
  <c r="D11" i="6"/>
  <c r="L11" i="6"/>
  <c r="AR11" i="6"/>
  <c r="AZ11" i="6"/>
  <c r="BH11" i="6"/>
  <c r="H12" i="6"/>
  <c r="P12" i="6"/>
  <c r="AV12" i="6"/>
  <c r="BD12" i="6"/>
  <c r="D13" i="6"/>
  <c r="L13" i="6"/>
  <c r="T13" i="6"/>
  <c r="AZ13" i="6"/>
  <c r="BH13" i="6"/>
  <c r="H14" i="6"/>
  <c r="P14" i="6"/>
  <c r="X14" i="6"/>
  <c r="BD14" i="6"/>
  <c r="D15" i="6"/>
  <c r="L15" i="6"/>
  <c r="T15" i="6"/>
  <c r="AB15" i="6"/>
  <c r="BH15" i="6"/>
  <c r="H16" i="6"/>
  <c r="P16" i="6"/>
  <c r="X16" i="6"/>
  <c r="AF16" i="6"/>
  <c r="AL2" i="6"/>
  <c r="Q3" i="6"/>
  <c r="AW3" i="6"/>
  <c r="U4" i="6"/>
  <c r="BA4" i="6"/>
  <c r="A7" i="6"/>
  <c r="AG7" i="6"/>
  <c r="E8" i="6"/>
  <c r="AK8" i="6"/>
  <c r="I9" i="6"/>
  <c r="AJ10" i="6"/>
  <c r="AV10" i="6"/>
  <c r="BF10" i="6"/>
  <c r="F11" i="6"/>
  <c r="N11" i="6"/>
  <c r="AT11" i="6"/>
  <c r="BB11" i="6"/>
  <c r="B12" i="6"/>
  <c r="J12" i="6"/>
  <c r="R12" i="6"/>
  <c r="AH12" i="6"/>
  <c r="AX12" i="6"/>
  <c r="BF12" i="6"/>
  <c r="F13" i="6"/>
  <c r="N13" i="6"/>
  <c r="V13" i="6"/>
  <c r="AD13" i="6"/>
  <c r="AL13" i="6"/>
  <c r="AT13" i="6"/>
  <c r="BB13" i="6"/>
  <c r="B14" i="6"/>
  <c r="J14" i="6"/>
  <c r="R14" i="6"/>
  <c r="Z14" i="6"/>
  <c r="AH14" i="6"/>
  <c r="AP14" i="6"/>
  <c r="AX14" i="6"/>
  <c r="BF14" i="6"/>
  <c r="F15" i="6"/>
  <c r="N15" i="6"/>
  <c r="V15" i="6"/>
  <c r="AD15" i="6"/>
  <c r="AL15" i="6"/>
  <c r="AT15" i="6"/>
  <c r="BB15" i="6"/>
  <c r="B16" i="6"/>
  <c r="J16" i="6"/>
  <c r="R16" i="6"/>
  <c r="Z16" i="6"/>
  <c r="AH16" i="6"/>
  <c r="AP16" i="6"/>
  <c r="AX16" i="6"/>
  <c r="BF16" i="6"/>
  <c r="W3" i="6"/>
  <c r="AY4" i="6"/>
  <c r="E6" i="6"/>
  <c r="AM7" i="6"/>
  <c r="G9" i="6"/>
  <c r="K10" i="6"/>
  <c r="AW10" i="6"/>
  <c r="M11" i="6"/>
  <c r="AF11" i="6"/>
  <c r="BC11" i="6"/>
  <c r="Q12" i="6"/>
  <c r="AJ12" i="6"/>
  <c r="BG12" i="6"/>
  <c r="U13" i="6"/>
  <c r="AN13" i="6"/>
  <c r="C14" i="6"/>
  <c r="Y14" i="6"/>
  <c r="AR14" i="6"/>
  <c r="G15" i="6"/>
  <c r="AC15" i="6"/>
  <c r="AV15" i="6"/>
  <c r="K16" i="6"/>
  <c r="AG16" i="6"/>
  <c r="AZ16" i="6"/>
  <c r="Y3" i="6"/>
  <c r="BG4" i="6"/>
  <c r="AA6" i="6"/>
  <c r="AO7" i="6"/>
  <c r="O9" i="6"/>
  <c r="T10" i="6"/>
  <c r="AY10" i="6"/>
  <c r="O11" i="6"/>
  <c r="AK11" i="6"/>
  <c r="BD11" i="6"/>
  <c r="S12" i="6"/>
  <c r="AO12" i="6"/>
  <c r="BH12" i="6"/>
  <c r="W13" i="6"/>
  <c r="AS13" i="6"/>
  <c r="D14" i="6"/>
  <c r="AA14" i="6"/>
  <c r="AW14" i="6"/>
  <c r="H15" i="6"/>
  <c r="AE15" i="6"/>
  <c r="BA15" i="6"/>
  <c r="L16" i="6"/>
  <c r="AI16" i="6"/>
  <c r="BE16" i="6"/>
  <c r="D2" i="6"/>
  <c r="BC3" i="6"/>
  <c r="W5" i="6"/>
  <c r="AK6" i="6"/>
  <c r="K8" i="6"/>
  <c r="AM9" i="6"/>
  <c r="AA10" i="6"/>
  <c r="BG10" i="6"/>
  <c r="U11" i="6"/>
  <c r="AN11" i="6"/>
  <c r="C12" i="6"/>
  <c r="Y12" i="6"/>
  <c r="AR12" i="6"/>
  <c r="G13" i="6"/>
  <c r="AC13" i="6"/>
  <c r="AV13" i="6"/>
  <c r="K14" i="6"/>
  <c r="AG14" i="6"/>
  <c r="AZ14" i="6"/>
  <c r="O15" i="6"/>
  <c r="AK15" i="6"/>
  <c r="BD15" i="6"/>
  <c r="S16" i="6"/>
  <c r="AO16" i="6"/>
  <c r="BH16" i="6"/>
  <c r="AT2" i="6"/>
  <c r="S4" i="6"/>
  <c r="AG5" i="6"/>
  <c r="G7" i="6"/>
  <c r="AI8" i="6"/>
  <c r="AW9" i="6"/>
  <c r="AK10" i="6"/>
  <c r="E11" i="6"/>
  <c r="X11" i="6"/>
  <c r="AU11" i="6"/>
  <c r="I12" i="6"/>
  <c r="AB12" i="6"/>
  <c r="AY12" i="6"/>
  <c r="M13" i="6"/>
  <c r="AF13" i="6"/>
  <c r="BC13" i="6"/>
  <c r="Q14" i="6"/>
  <c r="AJ14" i="6"/>
  <c r="BG14" i="6"/>
  <c r="U15" i="6"/>
  <c r="AN15" i="6"/>
  <c r="C16" i="6"/>
  <c r="Y16" i="6"/>
  <c r="AR16" i="6"/>
  <c r="AA4" i="6"/>
  <c r="I7" i="6"/>
  <c r="D10" i="6"/>
  <c r="G11" i="6"/>
  <c r="AV11" i="6"/>
  <c r="AG12" i="6"/>
  <c r="O13" i="6"/>
  <c r="BD13" i="6"/>
  <c r="AO14" i="6"/>
  <c r="W15" i="6"/>
  <c r="D16" i="6"/>
  <c r="AW16" i="6"/>
  <c r="BG6" i="6"/>
  <c r="AC4" i="6"/>
  <c r="AE7" i="6"/>
  <c r="I10" i="6"/>
  <c r="H11" i="6"/>
  <c r="BA11" i="6"/>
  <c r="AI12" i="6"/>
  <c r="P13" i="6"/>
  <c r="A14" i="6"/>
  <c r="AQ14" i="6"/>
  <c r="X15" i="6"/>
  <c r="I16" i="6"/>
  <c r="AY16" i="6"/>
  <c r="BA13" i="6"/>
  <c r="A5" i="6"/>
  <c r="C8" i="6"/>
  <c r="Y10" i="6"/>
  <c r="P11" i="6"/>
  <c r="A12" i="6"/>
  <c r="AQ12" i="6"/>
  <c r="X13" i="6"/>
  <c r="I14" i="6"/>
  <c r="AY14" i="6"/>
  <c r="AF15" i="6"/>
  <c r="Q16" i="6"/>
  <c r="BG16" i="6"/>
  <c r="AU9" i="6"/>
  <c r="AI2" i="6"/>
  <c r="AE5" i="6"/>
  <c r="M8" i="6"/>
  <c r="AI10" i="6"/>
  <c r="W11" i="6"/>
  <c r="D12" i="6"/>
  <c r="AW12" i="6"/>
  <c r="AE13" i="6"/>
  <c r="L14" i="6"/>
  <c r="BE14" i="6"/>
  <c r="AM15" i="6"/>
  <c r="T16" i="6"/>
  <c r="AA12" i="6"/>
  <c r="AV2" i="6"/>
  <c r="BC5" i="6"/>
  <c r="AQ8" i="6"/>
  <c r="AM10" i="6"/>
  <c r="AC11" i="6"/>
  <c r="K12" i="6"/>
  <c r="AZ12" i="6"/>
  <c r="AK13" i="6"/>
  <c r="S14" i="6"/>
  <c r="BH14" i="6"/>
  <c r="AS15" i="6"/>
  <c r="AA16" i="6"/>
  <c r="BH10" i="6"/>
  <c r="O3" i="6"/>
  <c r="C6" i="6"/>
  <c r="AS8" i="6"/>
  <c r="AU10" i="6"/>
  <c r="AE11" i="6"/>
  <c r="L12" i="6"/>
  <c r="BE12" i="6"/>
  <c r="AM13" i="6"/>
  <c r="T14" i="6"/>
  <c r="E15" i="6"/>
  <c r="AU15" i="6"/>
  <c r="AB16" i="6"/>
  <c r="H13" i="6"/>
  <c r="AU3" i="6"/>
  <c r="AI6" i="6"/>
  <c r="Q9" i="6"/>
  <c r="BE10" i="6"/>
  <c r="AM11" i="6"/>
  <c r="T12" i="6"/>
  <c r="E13" i="6"/>
  <c r="AU13" i="6"/>
  <c r="AB14" i="6"/>
  <c r="M15" i="6"/>
  <c r="BC15" i="6"/>
  <c r="AJ16" i="6"/>
  <c r="BE3" i="6"/>
  <c r="AS11" i="6"/>
  <c r="AI14" i="6"/>
  <c r="P15" i="6"/>
  <c r="A16" i="6"/>
  <c r="AQ16" i="6"/>
  <c r="AU7" i="6" l="1"/>
  <c r="AE3" i="6"/>
  <c r="P9" i="6"/>
  <c r="L8" i="6"/>
  <c r="H7" i="6"/>
  <c r="D6" i="6"/>
  <c r="BH4" i="6"/>
  <c r="BD3" i="6"/>
  <c r="AU2" i="6"/>
  <c r="Z10" i="6"/>
  <c r="V9" i="6"/>
  <c r="R8" i="6"/>
  <c r="N7" i="6"/>
  <c r="J6" i="6"/>
  <c r="F5" i="6"/>
  <c r="B4" i="6"/>
  <c r="BC2" i="6"/>
  <c r="AC9" i="6"/>
  <c r="Y8" i="6"/>
  <c r="U7" i="6"/>
  <c r="Q6" i="6"/>
  <c r="M5" i="6"/>
  <c r="I4" i="6"/>
  <c r="D3" i="6"/>
  <c r="X10" i="6"/>
  <c r="T9" i="6"/>
  <c r="P8" i="6"/>
  <c r="L7" i="6"/>
  <c r="H6" i="6"/>
  <c r="D5" i="6"/>
  <c r="BH3" i="6"/>
  <c r="AZ2" i="6"/>
  <c r="BG9" i="6"/>
  <c r="BC8" i="6"/>
  <c r="AY7" i="6"/>
  <c r="AU6" i="6"/>
  <c r="AQ5" i="6"/>
  <c r="AM4" i="6"/>
  <c r="AI3" i="6"/>
  <c r="S2" i="6"/>
  <c r="F10" i="6"/>
  <c r="B9" i="6"/>
  <c r="BF7" i="6"/>
  <c r="BB6" i="6"/>
  <c r="AX5" i="6"/>
  <c r="AT4" i="6"/>
  <c r="AP3" i="6"/>
  <c r="AB2" i="6"/>
  <c r="U2" i="6"/>
  <c r="AO2" i="6"/>
  <c r="BD7" i="6"/>
  <c r="AZ6" i="6"/>
  <c r="AV5" i="6"/>
  <c r="AR4" i="6"/>
  <c r="AN3" i="6"/>
  <c r="Z2" i="6"/>
  <c r="J10" i="6"/>
  <c r="F9" i="6"/>
  <c r="B8" i="6"/>
  <c r="BF6" i="6"/>
  <c r="BB5" i="6"/>
  <c r="AX4" i="6"/>
  <c r="AT3" i="6"/>
  <c r="AH2" i="6"/>
  <c r="M9" i="6"/>
  <c r="I8" i="6"/>
  <c r="E7" i="6"/>
  <c r="A6" i="6"/>
  <c r="BE4" i="6"/>
  <c r="BA3" i="6"/>
  <c r="AQ2" i="6"/>
  <c r="H10" i="6"/>
  <c r="D9" i="6"/>
  <c r="BH7" i="6"/>
  <c r="BD6" i="6"/>
  <c r="AZ5" i="6"/>
  <c r="AV4" i="6"/>
  <c r="AR3" i="6"/>
  <c r="AE2" i="6"/>
  <c r="AQ9" i="6"/>
  <c r="AM8" i="6"/>
  <c r="AI7" i="6"/>
  <c r="AE6" i="6"/>
  <c r="AA5" i="6"/>
  <c r="W4" i="6"/>
  <c r="S3" i="6"/>
  <c r="BB10" i="6"/>
  <c r="AX9" i="6"/>
  <c r="AT8" i="6"/>
  <c r="AP7" i="6"/>
  <c r="AL6" i="6"/>
  <c r="AH5" i="6"/>
  <c r="AD4" i="6"/>
  <c r="Z3" i="6"/>
  <c r="F2" i="6"/>
  <c r="E2" i="6"/>
  <c r="Y2" i="6"/>
  <c r="AP12" i="6"/>
  <c r="AL11" i="6"/>
  <c r="U10" i="6"/>
  <c r="AC6" i="6"/>
  <c r="BD16" i="6"/>
  <c r="AZ15" i="6"/>
  <c r="AV14" i="6"/>
  <c r="AR13" i="6"/>
  <c r="AN12" i="6"/>
  <c r="AJ11" i="6"/>
  <c r="S10" i="6"/>
  <c r="U6" i="6"/>
  <c r="BC16" i="6"/>
  <c r="AY15" i="6"/>
  <c r="AU14" i="6"/>
  <c r="AQ13" i="6"/>
  <c r="AM12" i="6"/>
  <c r="AI11" i="6"/>
  <c r="Q10" i="6"/>
  <c r="S6" i="6"/>
  <c r="BB16" i="6"/>
  <c r="AX15" i="6"/>
  <c r="AT14" i="6"/>
  <c r="AP13" i="6"/>
  <c r="AL12" i="6"/>
  <c r="AH11" i="6"/>
  <c r="M10" i="6"/>
  <c r="M6" i="6"/>
  <c r="BA16" i="6"/>
  <c r="AW15" i="6"/>
  <c r="AS14" i="6"/>
  <c r="AO13" i="6"/>
  <c r="AK12" i="6"/>
  <c r="AG11" i="6"/>
  <c r="L10" i="6"/>
  <c r="K6" i="6"/>
  <c r="BD9" i="6"/>
  <c r="AZ8" i="6"/>
  <c r="AV7" i="6"/>
  <c r="AR6" i="6"/>
  <c r="AN5" i="6"/>
  <c r="AJ4" i="6"/>
  <c r="AF3" i="6"/>
  <c r="O2" i="6"/>
  <c r="B10" i="6"/>
  <c r="BF8" i="6"/>
  <c r="BB7" i="6"/>
  <c r="AX6" i="6"/>
  <c r="AT5" i="6"/>
  <c r="AP4" i="6"/>
  <c r="AL3" i="6"/>
  <c r="W2" i="6"/>
  <c r="E9" i="6"/>
  <c r="A8" i="6"/>
  <c r="BE6" i="6"/>
  <c r="BA5" i="6"/>
  <c r="AW4" i="6"/>
  <c r="AS3" i="6"/>
  <c r="AF2" i="6"/>
  <c r="BH9" i="6"/>
  <c r="BD8" i="6"/>
  <c r="AZ7" i="6"/>
  <c r="AV6" i="6"/>
  <c r="AR5" i="6"/>
  <c r="AN4" i="6"/>
  <c r="AJ3" i="6"/>
  <c r="T2" i="6"/>
  <c r="AI9" i="6"/>
  <c r="AE8" i="6"/>
  <c r="AA7" i="6"/>
  <c r="W6" i="6"/>
  <c r="S5" i="6"/>
  <c r="O4" i="6"/>
  <c r="K3" i="6"/>
  <c r="AT10" i="6"/>
  <c r="AP9" i="6"/>
  <c r="AL8" i="6"/>
  <c r="AH7" i="6"/>
  <c r="AD6" i="6"/>
  <c r="Z5" i="6"/>
  <c r="V4" i="6"/>
  <c r="R3" i="6"/>
  <c r="A3" i="6"/>
  <c r="K2" i="6"/>
  <c r="Q2" i="6"/>
  <c r="AD11" i="6"/>
  <c r="E10" i="6"/>
  <c r="BE5" i="6"/>
  <c r="AV16" i="6"/>
  <c r="AR15" i="6"/>
  <c r="AN14" i="6"/>
  <c r="AJ13" i="6"/>
  <c r="AF12" i="6"/>
  <c r="AB11" i="6"/>
  <c r="C10" i="6"/>
  <c r="AW5" i="6"/>
  <c r="AU16" i="6"/>
  <c r="AQ15" i="6"/>
  <c r="AM14" i="6"/>
  <c r="AI13" i="6"/>
  <c r="AE12" i="6"/>
  <c r="AA11" i="6"/>
  <c r="A10" i="6"/>
  <c r="AU5" i="6"/>
  <c r="AT16" i="6"/>
  <c r="AP15" i="6"/>
  <c r="AL14" i="6"/>
  <c r="AH13" i="6"/>
  <c r="AD12" i="6"/>
  <c r="Z11" i="6"/>
  <c r="BE9" i="6"/>
  <c r="AO5" i="6"/>
  <c r="AS16" i="6"/>
  <c r="AO15" i="6"/>
  <c r="AK14" i="6"/>
  <c r="AG13" i="6"/>
  <c r="AC12" i="6"/>
  <c r="Y11" i="6"/>
  <c r="BC9" i="6"/>
  <c r="AM5" i="6"/>
  <c r="AV9" i="6"/>
  <c r="AR8" i="6"/>
  <c r="AN7" i="6"/>
  <c r="AJ6" i="6"/>
  <c r="AF5" i="6"/>
  <c r="AB4" i="6"/>
  <c r="X3" i="6"/>
  <c r="B2" i="6"/>
  <c r="BB9" i="6"/>
  <c r="AX8" i="6"/>
  <c r="AT7" i="6"/>
  <c r="AP6" i="6"/>
  <c r="AL5" i="6"/>
  <c r="AH4" i="6"/>
  <c r="AD3" i="6"/>
  <c r="L2" i="6"/>
  <c r="BE8" i="6"/>
  <c r="BA7" i="6"/>
  <c r="AW6" i="6"/>
  <c r="AS5" i="6"/>
  <c r="AO4" i="6"/>
  <c r="AK3" i="6"/>
  <c r="V2" i="6"/>
  <c r="AZ9" i="6"/>
  <c r="AV8" i="6"/>
  <c r="AR7" i="6"/>
  <c r="AN6" i="6"/>
  <c r="AJ5" i="6"/>
  <c r="AF4" i="6"/>
  <c r="AB3" i="6"/>
  <c r="H2" i="6"/>
  <c r="AA9" i="6"/>
  <c r="W8" i="6"/>
  <c r="S7" i="6"/>
  <c r="O6" i="6"/>
  <c r="K5" i="6"/>
  <c r="G4" i="6"/>
  <c r="B3" i="6"/>
  <c r="AL10" i="6"/>
  <c r="AH9" i="6"/>
  <c r="AD8" i="6"/>
  <c r="Z7" i="6"/>
  <c r="V6" i="6"/>
  <c r="R5" i="6"/>
  <c r="N4" i="6"/>
  <c r="J3" i="6"/>
  <c r="BA2" i="6"/>
  <c r="C2" i="6"/>
  <c r="I2" i="6"/>
  <c r="Z12" i="6"/>
  <c r="V11" i="6"/>
  <c r="AO9" i="6"/>
  <c r="Y5" i="6"/>
  <c r="AN16" i="6"/>
  <c r="AJ15" i="6"/>
  <c r="AF14" i="6"/>
  <c r="AB13" i="6"/>
  <c r="X12" i="6"/>
  <c r="T11" i="6"/>
  <c r="AG9" i="6"/>
  <c r="Q5" i="6"/>
  <c r="AM16" i="6"/>
  <c r="AI15" i="6"/>
  <c r="AE14" i="6"/>
  <c r="AA13" i="6"/>
  <c r="W12" i="6"/>
  <c r="S11" i="6"/>
  <c r="AE9" i="6"/>
  <c r="O5" i="6"/>
  <c r="AL16" i="6"/>
  <c r="AH15" i="6"/>
  <c r="AD14" i="6"/>
  <c r="Z13" i="6"/>
  <c r="V12" i="6"/>
  <c r="R11" i="6"/>
  <c r="Y9" i="6"/>
  <c r="I5" i="6"/>
  <c r="AK16" i="6"/>
  <c r="AG15" i="6"/>
  <c r="AC14" i="6"/>
  <c r="Y13" i="6"/>
  <c r="U12" i="6"/>
  <c r="Q11" i="6"/>
  <c r="W9" i="6"/>
  <c r="G5" i="6"/>
  <c r="AN9" i="6"/>
  <c r="AJ8" i="6"/>
  <c r="AF7" i="6"/>
  <c r="AB6" i="6"/>
  <c r="X5" i="6"/>
  <c r="T4" i="6"/>
  <c r="P3" i="6"/>
  <c r="AX10" i="6"/>
  <c r="AT9" i="6"/>
  <c r="AP8" i="6"/>
  <c r="AL7" i="6"/>
  <c r="AH6" i="6"/>
  <c r="AD5" i="6"/>
  <c r="Z4" i="6"/>
  <c r="V3" i="6"/>
  <c r="BA9" i="6"/>
  <c r="AW8" i="6"/>
  <c r="AS7" i="6"/>
  <c r="AO6" i="6"/>
  <c r="AK5" i="6"/>
  <c r="AG4" i="6"/>
  <c r="AC3" i="6"/>
  <c r="J2" i="6"/>
  <c r="AR9" i="6"/>
  <c r="AN8" i="6"/>
  <c r="AJ7" i="6"/>
  <c r="AF6" i="6"/>
  <c r="AB5" i="6"/>
  <c r="X4" i="6"/>
  <c r="T3" i="6"/>
  <c r="W10" i="6"/>
  <c r="S9" i="6"/>
  <c r="O8" i="6"/>
  <c r="K7" i="6"/>
  <c r="G6" i="6"/>
  <c r="C5" i="6"/>
  <c r="BG3" i="6"/>
  <c r="AY2" i="6"/>
  <c r="AD10" i="6"/>
  <c r="Z9" i="6"/>
  <c r="V8" i="6"/>
  <c r="R7" i="6"/>
  <c r="N6" i="6"/>
  <c r="J5" i="6"/>
  <c r="F4" i="6"/>
  <c r="BH2" i="6"/>
  <c r="AS2" i="6"/>
  <c r="E3" i="6"/>
  <c r="A2" i="7" a="1"/>
  <c r="C2" i="7" l="1"/>
  <c r="K2" i="7"/>
  <c r="D3" i="7"/>
  <c r="L3" i="7"/>
  <c r="E4" i="7"/>
  <c r="M4" i="7"/>
  <c r="F5" i="7"/>
  <c r="N5" i="7"/>
  <c r="G6" i="7"/>
  <c r="O6" i="7"/>
  <c r="H7" i="7"/>
  <c r="A8" i="7"/>
  <c r="I8" i="7"/>
  <c r="B9" i="7"/>
  <c r="J9" i="7"/>
  <c r="C10" i="7"/>
  <c r="K10" i="7"/>
  <c r="D11" i="7"/>
  <c r="L11" i="7"/>
  <c r="E12" i="7"/>
  <c r="M12" i="7"/>
  <c r="F13" i="7"/>
  <c r="N13" i="7"/>
  <c r="G14" i="7"/>
  <c r="O14" i="7"/>
  <c r="H15" i="7"/>
  <c r="A16" i="7"/>
  <c r="I16" i="7"/>
  <c r="D2" i="7"/>
  <c r="L2" i="7"/>
  <c r="E3" i="7"/>
  <c r="M3" i="7"/>
  <c r="F4" i="7"/>
  <c r="N4" i="7"/>
  <c r="G5" i="7"/>
  <c r="O5" i="7"/>
  <c r="H6" i="7"/>
  <c r="A7" i="7"/>
  <c r="I7" i="7"/>
  <c r="B8" i="7"/>
  <c r="J8" i="7"/>
  <c r="C9" i="7"/>
  <c r="K9" i="7"/>
  <c r="D10" i="7"/>
  <c r="L10" i="7"/>
  <c r="E11" i="7"/>
  <c r="M11" i="7"/>
  <c r="F12" i="7"/>
  <c r="N12" i="7"/>
  <c r="G13" i="7"/>
  <c r="O13" i="7"/>
  <c r="H14" i="7"/>
  <c r="A15" i="7"/>
  <c r="E2" i="7"/>
  <c r="M2" i="7"/>
  <c r="F3" i="7"/>
  <c r="N3" i="7"/>
  <c r="G4" i="7"/>
  <c r="O4" i="7"/>
  <c r="H5" i="7"/>
  <c r="A6" i="7"/>
  <c r="I6" i="7"/>
  <c r="B7" i="7"/>
  <c r="J7" i="7"/>
  <c r="C8" i="7"/>
  <c r="K8" i="7"/>
  <c r="D9" i="7"/>
  <c r="L9" i="7"/>
  <c r="E10" i="7"/>
  <c r="M10" i="7"/>
  <c r="F11" i="7"/>
  <c r="N11" i="7"/>
  <c r="G12" i="7"/>
  <c r="O12" i="7"/>
  <c r="H13" i="7"/>
  <c r="A14" i="7"/>
  <c r="I14" i="7"/>
  <c r="B15" i="7"/>
  <c r="J15" i="7"/>
  <c r="C16" i="7"/>
  <c r="K16" i="7"/>
  <c r="F2" i="7"/>
  <c r="N2" i="7"/>
  <c r="G3" i="7"/>
  <c r="O3" i="7"/>
  <c r="H4" i="7"/>
  <c r="A5" i="7"/>
  <c r="I5" i="7"/>
  <c r="B6" i="7"/>
  <c r="J6" i="7"/>
  <c r="C7" i="7"/>
  <c r="K7" i="7"/>
  <c r="D8" i="7"/>
  <c r="L8" i="7"/>
  <c r="E9" i="7"/>
  <c r="M9" i="7"/>
  <c r="F10" i="7"/>
  <c r="N10" i="7"/>
  <c r="G11" i="7"/>
  <c r="O11" i="7"/>
  <c r="G2" i="7"/>
  <c r="O2" i="7"/>
  <c r="H3" i="7"/>
  <c r="A4" i="7"/>
  <c r="I4" i="7"/>
  <c r="B5" i="7"/>
  <c r="J5" i="7"/>
  <c r="C6" i="7"/>
  <c r="K6" i="7"/>
  <c r="D7" i="7"/>
  <c r="L7" i="7"/>
  <c r="E8" i="7"/>
  <c r="M8" i="7"/>
  <c r="F9" i="7"/>
  <c r="N9" i="7"/>
  <c r="G10" i="7"/>
  <c r="O10" i="7"/>
  <c r="H11" i="7"/>
  <c r="A12" i="7"/>
  <c r="I12" i="7"/>
  <c r="B13" i="7"/>
  <c r="J13" i="7"/>
  <c r="C14" i="7"/>
  <c r="K14" i="7"/>
  <c r="D15" i="7"/>
  <c r="L15" i="7"/>
  <c r="E16" i="7"/>
  <c r="M16" i="7"/>
  <c r="A2" i="7"/>
  <c r="A2" i="8" s="1" a="1"/>
  <c r="I2" i="7"/>
  <c r="B3" i="7"/>
  <c r="J3" i="7"/>
  <c r="C4" i="7"/>
  <c r="K4" i="7"/>
  <c r="D5" i="7"/>
  <c r="L5" i="7"/>
  <c r="E6" i="7"/>
  <c r="M6" i="7"/>
  <c r="F7" i="7"/>
  <c r="N7" i="7"/>
  <c r="G8" i="7"/>
  <c r="O8" i="7"/>
  <c r="H9" i="7"/>
  <c r="A10" i="7"/>
  <c r="I10" i="7"/>
  <c r="B11" i="7"/>
  <c r="J11" i="7"/>
  <c r="C12" i="7"/>
  <c r="B2" i="7"/>
  <c r="D4" i="7"/>
  <c r="F6" i="7"/>
  <c r="H8" i="7"/>
  <c r="J10" i="7"/>
  <c r="J12" i="7"/>
  <c r="K13" i="7"/>
  <c r="L14" i="7"/>
  <c r="K15" i="7"/>
  <c r="H16" i="7"/>
  <c r="H2" i="7"/>
  <c r="J4" i="7"/>
  <c r="L6" i="7"/>
  <c r="N8" i="7"/>
  <c r="A11" i="7"/>
  <c r="K12" i="7"/>
  <c r="L13" i="7"/>
  <c r="M14" i="7"/>
  <c r="M15" i="7"/>
  <c r="J16" i="7"/>
  <c r="J2" i="7"/>
  <c r="L4" i="7"/>
  <c r="N6" i="7"/>
  <c r="A9" i="7"/>
  <c r="C11" i="7"/>
  <c r="L12" i="7"/>
  <c r="M13" i="7"/>
  <c r="N14" i="7"/>
  <c r="N15" i="7"/>
  <c r="L16" i="7"/>
  <c r="A3" i="7"/>
  <c r="C5" i="7"/>
  <c r="E7" i="7"/>
  <c r="G9" i="7"/>
  <c r="I11" i="7"/>
  <c r="A13" i="7"/>
  <c r="B14" i="7"/>
  <c r="C15" i="7"/>
  <c r="O15" i="7"/>
  <c r="N16" i="7"/>
  <c r="C3" i="7"/>
  <c r="E5" i="7"/>
  <c r="G7" i="7"/>
  <c r="I9" i="7"/>
  <c r="K11" i="7"/>
  <c r="C13" i="7"/>
  <c r="D14" i="7"/>
  <c r="E15" i="7"/>
  <c r="B16" i="7"/>
  <c r="O16" i="7"/>
  <c r="K3" i="7"/>
  <c r="M5" i="7"/>
  <c r="O7" i="7"/>
  <c r="B10" i="7"/>
  <c r="D12" i="7"/>
  <c r="E13" i="7"/>
  <c r="F14" i="7"/>
  <c r="G15" i="7"/>
  <c r="F16" i="7"/>
  <c r="M7" i="7"/>
  <c r="E14" i="7"/>
  <c r="F8" i="7"/>
  <c r="J14" i="7"/>
  <c r="O9" i="7"/>
  <c r="F15" i="7"/>
  <c r="H10" i="7"/>
  <c r="I15" i="7"/>
  <c r="B4" i="7"/>
  <c r="H12" i="7"/>
  <c r="G16" i="7"/>
  <c r="I13" i="7"/>
  <c r="D16" i="7"/>
  <c r="I3" i="7"/>
  <c r="D6" i="7"/>
  <c r="K5" i="7"/>
  <c r="B12" i="7"/>
  <c r="D13" i="7"/>
  <c r="G2" i="8" l="1"/>
  <c r="O2" i="8"/>
  <c r="H3" i="8"/>
  <c r="A4" i="8"/>
  <c r="I4" i="8"/>
  <c r="B5" i="8"/>
  <c r="J5" i="8"/>
  <c r="C6" i="8"/>
  <c r="K6" i="8"/>
  <c r="D7" i="8"/>
  <c r="L7" i="8"/>
  <c r="E8" i="8"/>
  <c r="C2" i="8"/>
  <c r="K2" i="8"/>
  <c r="D3" i="8"/>
  <c r="L3" i="8"/>
  <c r="E4" i="8"/>
  <c r="M4" i="8"/>
  <c r="F5" i="8"/>
  <c r="N5" i="8"/>
  <c r="G6" i="8"/>
  <c r="O6" i="8"/>
  <c r="H7" i="8"/>
  <c r="A8" i="8"/>
  <c r="I8" i="8"/>
  <c r="D2" i="8"/>
  <c r="L2" i="8"/>
  <c r="E3" i="8"/>
  <c r="M3" i="8"/>
  <c r="F4" i="8"/>
  <c r="N4" i="8"/>
  <c r="G5" i="8"/>
  <c r="O5" i="8"/>
  <c r="H6" i="8"/>
  <c r="A7" i="8"/>
  <c r="I7" i="8"/>
  <c r="B8" i="8"/>
  <c r="J8" i="8"/>
  <c r="C9" i="8"/>
  <c r="K9" i="8"/>
  <c r="D10" i="8"/>
  <c r="L10" i="8"/>
  <c r="E11" i="8"/>
  <c r="M11" i="8"/>
  <c r="F12" i="8"/>
  <c r="N12" i="8"/>
  <c r="G13" i="8"/>
  <c r="O13" i="8"/>
  <c r="H14" i="8"/>
  <c r="F2" i="8"/>
  <c r="C3" i="8"/>
  <c r="B4" i="8"/>
  <c r="O4" i="8"/>
  <c r="L5" i="8"/>
  <c r="J6" i="8"/>
  <c r="G7" i="8"/>
  <c r="F8" i="8"/>
  <c r="A9" i="8"/>
  <c r="J9" i="8"/>
  <c r="E10" i="8"/>
  <c r="N10" i="8"/>
  <c r="H11" i="8"/>
  <c r="B12" i="8"/>
  <c r="K12" i="8"/>
  <c r="E13" i="8"/>
  <c r="N13" i="8"/>
  <c r="I14" i="8"/>
  <c r="B15" i="8"/>
  <c r="J15" i="8"/>
  <c r="C16" i="8"/>
  <c r="K16" i="8"/>
  <c r="H2" i="8"/>
  <c r="F3" i="8"/>
  <c r="C4" i="8"/>
  <c r="A5" i="8"/>
  <c r="M5" i="8"/>
  <c r="L6" i="8"/>
  <c r="J7" i="8"/>
  <c r="G8" i="8"/>
  <c r="B9" i="8"/>
  <c r="L9" i="8"/>
  <c r="F10" i="8"/>
  <c r="O10" i="8"/>
  <c r="I11" i="8"/>
  <c r="C12" i="8"/>
  <c r="L12" i="8"/>
  <c r="F13" i="8"/>
  <c r="A14" i="8"/>
  <c r="J14" i="8"/>
  <c r="C15" i="8"/>
  <c r="K15" i="8"/>
  <c r="D16" i="8"/>
  <c r="L16" i="8"/>
  <c r="I2" i="8"/>
  <c r="G3" i="8"/>
  <c r="D4" i="8"/>
  <c r="C5" i="8"/>
  <c r="A6" i="8"/>
  <c r="M6" i="8"/>
  <c r="K7" i="8"/>
  <c r="H8" i="8"/>
  <c r="D9" i="8"/>
  <c r="M9" i="8"/>
  <c r="G10" i="8"/>
  <c r="A11" i="8"/>
  <c r="J11" i="8"/>
  <c r="D12" i="8"/>
  <c r="M12" i="8"/>
  <c r="H13" i="8"/>
  <c r="B14" i="8"/>
  <c r="K14" i="8"/>
  <c r="D15" i="8"/>
  <c r="L15" i="8"/>
  <c r="E16" i="8"/>
  <c r="M16" i="8"/>
  <c r="J2" i="8"/>
  <c r="I3" i="8"/>
  <c r="G4" i="8"/>
  <c r="D5" i="8"/>
  <c r="B6" i="8"/>
  <c r="N6" i="8"/>
  <c r="M7" i="8"/>
  <c r="K8" i="8"/>
  <c r="E9" i="8"/>
  <c r="N9" i="8"/>
  <c r="H10" i="8"/>
  <c r="B11" i="8"/>
  <c r="K11" i="8"/>
  <c r="E12" i="8"/>
  <c r="O12" i="8"/>
  <c r="I13" i="8"/>
  <c r="C14" i="8"/>
  <c r="L14" i="8"/>
  <c r="E15" i="8"/>
  <c r="M15" i="8"/>
  <c r="F16" i="8"/>
  <c r="N16" i="8"/>
  <c r="M2" i="8"/>
  <c r="J3" i="8"/>
  <c r="H4" i="8"/>
  <c r="E5" i="8"/>
  <c r="D6" i="8"/>
  <c r="B7" i="8"/>
  <c r="N7" i="8"/>
  <c r="L8" i="8"/>
  <c r="F9" i="8"/>
  <c r="O9" i="8"/>
  <c r="I10" i="8"/>
  <c r="C11" i="8"/>
  <c r="L11" i="8"/>
  <c r="G12" i="8"/>
  <c r="A13" i="8"/>
  <c r="J13" i="8"/>
  <c r="D14" i="8"/>
  <c r="M14" i="8"/>
  <c r="F15" i="8"/>
  <c r="N15" i="8"/>
  <c r="G16" i="8"/>
  <c r="O16" i="8"/>
  <c r="B2" i="8"/>
  <c r="A3" i="8"/>
  <c r="N3" i="8"/>
  <c r="K4" i="8"/>
  <c r="I5" i="8"/>
  <c r="F6" i="8"/>
  <c r="E7" i="8"/>
  <c r="C8" i="8"/>
  <c r="N8" i="8"/>
  <c r="H9" i="8"/>
  <c r="B10" i="8"/>
  <c r="K10" i="8"/>
  <c r="F11" i="8"/>
  <c r="O11" i="8"/>
  <c r="I12" i="8"/>
  <c r="C13" i="8"/>
  <c r="L13" i="8"/>
  <c r="F14" i="8"/>
  <c r="O14" i="8"/>
  <c r="H15" i="8"/>
  <c r="A16" i="8"/>
  <c r="I16" i="8"/>
  <c r="K3" i="8"/>
  <c r="C7" i="8"/>
  <c r="A10" i="8"/>
  <c r="H12" i="8"/>
  <c r="N14" i="8"/>
  <c r="O3" i="8"/>
  <c r="F7" i="8"/>
  <c r="C10" i="8"/>
  <c r="J12" i="8"/>
  <c r="A15" i="8"/>
  <c r="J4" i="8"/>
  <c r="O7" i="8"/>
  <c r="J10" i="8"/>
  <c r="B13" i="8"/>
  <c r="G15" i="8"/>
  <c r="L4" i="8"/>
  <c r="D8" i="8"/>
  <c r="M10" i="8"/>
  <c r="D13" i="8"/>
  <c r="I15" i="8"/>
  <c r="A2" i="8"/>
  <c r="H5" i="8"/>
  <c r="M8" i="8"/>
  <c r="D11" i="8"/>
  <c r="K13" i="8"/>
  <c r="O15" i="8"/>
  <c r="E2" i="8"/>
  <c r="K5" i="8"/>
  <c r="O8" i="8"/>
  <c r="G11" i="8"/>
  <c r="M13" i="8"/>
  <c r="B16" i="8"/>
  <c r="B3" i="8"/>
  <c r="I6" i="8"/>
  <c r="I9" i="8"/>
  <c r="A12" i="8"/>
  <c r="G14" i="8"/>
  <c r="J16" i="8"/>
  <c r="G9" i="8"/>
  <c r="N11" i="8"/>
  <c r="E14" i="8"/>
  <c r="H16" i="8"/>
  <c r="N2" i="8"/>
  <c r="E6" i="8"/>
  <c r="A2" i="9" l="1" a="1"/>
  <c r="I6" i="9" s="1"/>
  <c r="BG10" i="9" l="1"/>
  <c r="AQ11" i="9"/>
  <c r="K15" i="9"/>
  <c r="W11" i="9"/>
  <c r="AI15" i="9"/>
  <c r="O15" i="9"/>
  <c r="X14" i="9"/>
  <c r="AR12" i="9"/>
  <c r="AH4" i="9"/>
  <c r="AP14" i="9"/>
  <c r="AZ3" i="9"/>
  <c r="AT13" i="9"/>
  <c r="AL16" i="9"/>
  <c r="BE14" i="9"/>
  <c r="AO15" i="9"/>
  <c r="P15" i="9"/>
  <c r="N8" i="9"/>
  <c r="AX8" i="9"/>
  <c r="AI9" i="9"/>
  <c r="W14" i="9"/>
  <c r="AN10" i="9"/>
  <c r="V16" i="9"/>
  <c r="P14" i="9"/>
  <c r="F8" i="9"/>
  <c r="P10" i="9"/>
  <c r="K16" i="9"/>
  <c r="AD14" i="9"/>
  <c r="AW12" i="9"/>
  <c r="BF3" i="9"/>
  <c r="N16" i="9"/>
  <c r="AE11" i="9"/>
  <c r="T3" i="9"/>
  <c r="N14" i="9"/>
  <c r="Y13" i="9"/>
  <c r="T8" i="9"/>
  <c r="BF15" i="9"/>
  <c r="C13" i="9"/>
  <c r="AU7" i="9"/>
  <c r="AZ11" i="9"/>
  <c r="AC10" i="9"/>
  <c r="S5" i="9"/>
  <c r="S14" i="9"/>
  <c r="AU9" i="9"/>
  <c r="J14" i="9"/>
  <c r="AM16" i="9"/>
  <c r="AI4" i="9"/>
  <c r="AG16" i="9"/>
  <c r="AF16" i="9"/>
  <c r="K5" i="9"/>
  <c r="S3" i="9"/>
  <c r="AD12" i="9"/>
  <c r="M6" i="9"/>
  <c r="S2" i="9"/>
  <c r="A2" i="9"/>
  <c r="AW2" i="9"/>
  <c r="E7" i="9"/>
  <c r="U11" i="9"/>
  <c r="AD5" i="9"/>
  <c r="AT9" i="9"/>
  <c r="O3" i="9"/>
  <c r="H5" i="9"/>
  <c r="X9" i="9"/>
  <c r="BA2" i="9"/>
  <c r="I7" i="9"/>
  <c r="Y11" i="9"/>
  <c r="BB4" i="9"/>
  <c r="J9" i="9"/>
  <c r="O4" i="9"/>
  <c r="BH9" i="9"/>
  <c r="AV13" i="9"/>
  <c r="BD15" i="9"/>
  <c r="AA5" i="9"/>
  <c r="G11" i="9"/>
  <c r="M14" i="9"/>
  <c r="U16" i="9"/>
  <c r="BD6" i="9"/>
  <c r="AQ7" i="9"/>
  <c r="BD12" i="9"/>
  <c r="D15" i="9"/>
  <c r="C3" i="9"/>
  <c r="K9" i="9"/>
  <c r="AC13" i="9"/>
  <c r="AK15" i="9"/>
  <c r="AO16" i="9"/>
  <c r="BC8" i="9"/>
  <c r="W13" i="9"/>
  <c r="AE15" i="9"/>
  <c r="BH5" i="9"/>
  <c r="AA12" i="9"/>
  <c r="AT14" i="9"/>
  <c r="BB16" i="9"/>
  <c r="AE10" i="9"/>
  <c r="BG13" i="9"/>
  <c r="G16" i="9"/>
  <c r="AE8" i="9"/>
  <c r="N13" i="9"/>
  <c r="V15" i="9"/>
  <c r="G5" i="9"/>
  <c r="G12" i="9"/>
  <c r="AI14" i="9"/>
  <c r="AQ16" i="9"/>
  <c r="H10" i="9"/>
  <c r="AY13" i="9"/>
  <c r="BG15" i="9"/>
  <c r="V14" i="9"/>
  <c r="AD15" i="9"/>
  <c r="AT16" i="9"/>
  <c r="AQ6" i="9"/>
  <c r="AX12" i="9"/>
  <c r="N15" i="9"/>
  <c r="Z15" i="9"/>
  <c r="AM5" i="9"/>
  <c r="G10" i="9"/>
  <c r="R16" i="9"/>
  <c r="BA3" i="9"/>
  <c r="R2" i="9"/>
  <c r="AH6" i="9"/>
  <c r="AX10" i="9"/>
  <c r="S4" i="9"/>
  <c r="L6" i="9"/>
  <c r="AB10" i="9"/>
  <c r="BE3" i="9"/>
  <c r="AC12" i="9"/>
  <c r="BF5" i="9"/>
  <c r="G7" i="9"/>
  <c r="AQ10" i="9"/>
  <c r="L16" i="9"/>
  <c r="AY11" i="9"/>
  <c r="AK16" i="9"/>
  <c r="AM7" i="9"/>
  <c r="L13" i="9"/>
  <c r="T15" i="9"/>
  <c r="G4" i="9"/>
  <c r="AS13" i="9"/>
  <c r="BA15" i="9"/>
  <c r="BC13" i="9"/>
  <c r="S8" i="9"/>
  <c r="R15" i="9"/>
  <c r="BE2" i="9"/>
  <c r="M7" i="9"/>
  <c r="AC11" i="9"/>
  <c r="AL5" i="9"/>
  <c r="BB9" i="9"/>
  <c r="W3" i="9"/>
  <c r="P5" i="9"/>
  <c r="AF9" i="9"/>
  <c r="A3" i="9"/>
  <c r="Q7" i="9"/>
  <c r="AG11" i="9"/>
  <c r="B5" i="9"/>
  <c r="R9" i="9"/>
  <c r="AM4" i="9"/>
  <c r="W10" i="9"/>
  <c r="BD13" i="9"/>
  <c r="D16" i="9"/>
  <c r="AU5" i="9"/>
  <c r="AB11" i="9"/>
  <c r="U14" i="9"/>
  <c r="AC16" i="9"/>
  <c r="S7" i="9"/>
  <c r="C8" i="9"/>
  <c r="D13" i="9"/>
  <c r="L15" i="9"/>
  <c r="AI3" i="9"/>
  <c r="AE9" i="9"/>
  <c r="AK13" i="9"/>
  <c r="AS15" i="9"/>
  <c r="AW16" i="9"/>
  <c r="AJ9" i="9"/>
  <c r="AM13" i="9"/>
  <c r="AU15" i="9"/>
  <c r="AA7" i="9"/>
  <c r="BB12" i="9"/>
  <c r="B15" i="9"/>
  <c r="AV2" i="9"/>
  <c r="L11" i="9"/>
  <c r="O14" i="9"/>
  <c r="W16" i="9"/>
  <c r="L9" i="9"/>
  <c r="AD13" i="9"/>
  <c r="AL15" i="9"/>
  <c r="AF6" i="9"/>
  <c r="AM12" i="9"/>
  <c r="AY14" i="9"/>
  <c r="BG16" i="9"/>
  <c r="AY10" i="9"/>
  <c r="G14" i="9"/>
  <c r="O16" i="9"/>
  <c r="AH16" i="9"/>
  <c r="BB13" i="9"/>
  <c r="I8" i="9"/>
  <c r="M8" i="9"/>
  <c r="N10" i="9"/>
  <c r="D14" i="9"/>
  <c r="H6" i="9"/>
  <c r="AC14" i="9"/>
  <c r="X8" i="9"/>
  <c r="AZ9" i="9"/>
  <c r="BE16" i="9"/>
  <c r="S10" i="9"/>
  <c r="C16" i="9"/>
  <c r="J13" i="9"/>
  <c r="A4" i="9"/>
  <c r="Q8" i="9"/>
  <c r="Z2" i="9"/>
  <c r="AP6" i="9"/>
  <c r="BF10" i="9"/>
  <c r="D2" i="9"/>
  <c r="T6" i="9"/>
  <c r="AJ10" i="9"/>
  <c r="E4" i="9"/>
  <c r="U8" i="9"/>
  <c r="AK12" i="9"/>
  <c r="F6" i="9"/>
  <c r="V10" i="9"/>
  <c r="AB7" i="9"/>
  <c r="D11" i="9"/>
  <c r="L14" i="9"/>
  <c r="T16" i="9"/>
  <c r="AE6" i="9"/>
  <c r="I12" i="9"/>
  <c r="AK14" i="9"/>
  <c r="AS16" i="9"/>
  <c r="X2" i="9"/>
  <c r="AU8" i="9"/>
  <c r="T13" i="9"/>
  <c r="AB15" i="9"/>
  <c r="AF4" i="9"/>
  <c r="O10" i="9"/>
  <c r="BA13" i="9"/>
  <c r="A16" i="9"/>
  <c r="P2" i="9"/>
  <c r="C11" i="9"/>
  <c r="K14" i="9"/>
  <c r="S16" i="9"/>
  <c r="C9" i="9"/>
  <c r="Z13" i="9"/>
  <c r="AH15" i="9"/>
  <c r="K6" i="9"/>
  <c r="AE12" i="9"/>
  <c r="AU14" i="9"/>
  <c r="BC16" i="9"/>
  <c r="AM10" i="9"/>
  <c r="B14" i="9"/>
  <c r="J16" i="9"/>
  <c r="AF8" i="9"/>
  <c r="O13" i="9"/>
  <c r="W15" i="9"/>
  <c r="AB5" i="9"/>
  <c r="O12" i="9"/>
  <c r="AM14" i="9"/>
  <c r="AU16" i="9"/>
  <c r="H4" i="9"/>
  <c r="W9" i="9"/>
  <c r="S12" i="9"/>
  <c r="AX13" i="9"/>
  <c r="B16" i="9"/>
  <c r="AV10" i="9"/>
  <c r="U9" i="9"/>
  <c r="J7" i="9"/>
  <c r="BH14" i="9"/>
  <c r="Y15" i="9"/>
  <c r="L5" i="9"/>
  <c r="H14" i="9"/>
  <c r="Q12" i="9"/>
  <c r="Q16" i="9"/>
  <c r="W12" i="9"/>
  <c r="AY16" i="9"/>
  <c r="BF13" i="9"/>
  <c r="W8" i="9"/>
  <c r="S15" i="9"/>
  <c r="C12" i="9"/>
  <c r="AP16" i="9"/>
  <c r="AU13" i="9"/>
  <c r="BH7" i="9"/>
  <c r="BE4" i="9"/>
  <c r="M9" i="9"/>
  <c r="V3" i="9"/>
  <c r="AL7" i="9"/>
  <c r="BB11" i="9"/>
  <c r="BH2" i="9"/>
  <c r="P7" i="9"/>
  <c r="AF11" i="9"/>
  <c r="A5" i="9"/>
  <c r="Q9" i="9"/>
  <c r="AT2" i="9"/>
  <c r="B7" i="9"/>
  <c r="R11" i="9"/>
  <c r="C5" i="9"/>
  <c r="AN12" i="9"/>
  <c r="AZ14" i="9"/>
  <c r="BH16" i="9"/>
  <c r="P8" i="9"/>
  <c r="I13" i="9"/>
  <c r="Q15" i="9"/>
  <c r="BG3" i="9"/>
  <c r="AY4" i="9"/>
  <c r="AF10" i="9"/>
  <c r="BH13" i="9"/>
  <c r="H16" i="9"/>
  <c r="S6" i="9"/>
  <c r="BH11" i="9"/>
  <c r="AG14" i="9"/>
  <c r="I16" i="9"/>
  <c r="X4" i="9"/>
  <c r="AR11" i="9"/>
  <c r="AA14" i="9"/>
  <c r="AI16" i="9"/>
  <c r="AR9" i="9"/>
  <c r="AP13" i="9"/>
  <c r="AX15" i="9"/>
  <c r="AJ7" i="9"/>
  <c r="BC12" i="9"/>
  <c r="C15" i="9"/>
  <c r="D3" i="9"/>
  <c r="T11" i="9"/>
  <c r="R14" i="9"/>
  <c r="Z16" i="9"/>
  <c r="O9" i="9"/>
  <c r="AE13" i="9"/>
  <c r="AM15" i="9"/>
  <c r="BC6" i="9"/>
  <c r="AU12" i="9"/>
  <c r="BC14" i="9"/>
  <c r="AJ3" i="9"/>
  <c r="AY8" i="9"/>
  <c r="K12" i="9"/>
  <c r="AL13" i="9"/>
  <c r="BB14" i="9"/>
  <c r="H8" i="9"/>
  <c r="B13" i="9"/>
  <c r="E5" i="9"/>
  <c r="AD3" i="9"/>
  <c r="AT7" i="9"/>
  <c r="B12" i="9"/>
  <c r="H3" i="9"/>
  <c r="X7" i="9"/>
  <c r="AN11" i="9"/>
  <c r="I5" i="9"/>
  <c r="Y9" i="9"/>
  <c r="BB2" i="9"/>
  <c r="Z11" i="9"/>
  <c r="W5" i="9"/>
  <c r="AZ12" i="9"/>
  <c r="O2" i="9"/>
  <c r="AM8" i="9"/>
  <c r="Q13" i="9"/>
  <c r="AA4" i="9"/>
  <c r="BC10" i="9"/>
  <c r="P16" i="9"/>
  <c r="AN6" i="9"/>
  <c r="AO14" i="9"/>
  <c r="AY5" i="9"/>
  <c r="AQ14" i="9"/>
  <c r="AA10" i="9"/>
  <c r="F16" i="9"/>
  <c r="K13" i="9"/>
  <c r="BD4" i="9"/>
  <c r="AH14" i="9"/>
  <c r="BG9" i="9"/>
  <c r="BF14" i="9"/>
  <c r="AD16" i="9"/>
  <c r="AA16" i="9"/>
  <c r="BF12" i="9"/>
  <c r="AE14" i="9"/>
  <c r="BG14" i="9"/>
  <c r="AW14" i="9"/>
  <c r="AG15" i="9"/>
  <c r="H15" i="9"/>
  <c r="AJ12" i="9"/>
  <c r="AP8" i="9"/>
  <c r="J15" i="9"/>
  <c r="AP15" i="9"/>
  <c r="R13" i="9"/>
  <c r="AI13" i="9"/>
  <c r="AY7" i="9"/>
  <c r="AI12" i="9"/>
  <c r="AQ13" i="9"/>
  <c r="G13" i="9"/>
  <c r="AJ11" i="9"/>
  <c r="AG13" i="9"/>
  <c r="H13" i="9"/>
  <c r="AB8" i="9"/>
  <c r="D7" i="9"/>
  <c r="AL14" i="9"/>
  <c r="S13" i="9"/>
  <c r="BC15" i="9"/>
  <c r="BC9" i="9"/>
  <c r="AA13" i="9"/>
  <c r="AY12" i="9"/>
  <c r="AG12" i="9"/>
  <c r="O11" i="9"/>
  <c r="BH12" i="9"/>
  <c r="AX3" i="9"/>
  <c r="Z4" i="9"/>
  <c r="F14" i="9"/>
  <c r="AH13" i="9"/>
  <c r="AN8" i="9"/>
  <c r="G15" i="9"/>
  <c r="BF16" i="9"/>
  <c r="BC11" i="9"/>
  <c r="K8" i="9"/>
  <c r="W7" i="9"/>
  <c r="BC5" i="9"/>
  <c r="T9" i="9"/>
  <c r="O8" i="9"/>
  <c r="L4" i="9"/>
  <c r="Y10" i="9"/>
  <c r="BG7" i="9"/>
  <c r="AQ12" i="9"/>
  <c r="AE16" i="9"/>
  <c r="AI11" i="9"/>
  <c r="BB15" i="9"/>
  <c r="W6" i="9"/>
  <c r="K11" i="9"/>
  <c r="O7" i="9"/>
  <c r="C7" i="9"/>
  <c r="AI5" i="9"/>
  <c r="BG8" i="9"/>
  <c r="AZ7" i="9"/>
  <c r="U10" i="9"/>
  <c r="D4" i="9"/>
  <c r="Q10" i="9"/>
  <c r="AX16" i="9"/>
  <c r="Z14" i="9"/>
  <c r="AQ15" i="9"/>
  <c r="AA9" i="9"/>
  <c r="C14" i="9"/>
  <c r="F15" i="9"/>
  <c r="D9" i="9"/>
  <c r="F13" i="9"/>
  <c r="AT15" i="9"/>
  <c r="V13" i="9"/>
  <c r="AA15" i="9"/>
  <c r="AQ8" i="9"/>
  <c r="BG12" i="9"/>
  <c r="AX14" i="9"/>
  <c r="AY15" i="9"/>
  <c r="AU4" i="9"/>
  <c r="AF2" i="9"/>
  <c r="Y16" i="9"/>
  <c r="X16" i="9"/>
  <c r="AV4" i="9"/>
  <c r="AU2" i="9"/>
  <c r="V12" i="9"/>
  <c r="E6" i="9"/>
  <c r="K2" i="9"/>
  <c r="A6" i="9"/>
  <c r="AE7" i="9"/>
  <c r="AN4" i="9"/>
  <c r="AU6" i="9"/>
  <c r="AQ3" i="9"/>
  <c r="N12" i="9"/>
  <c r="J11" i="9"/>
  <c r="F10" i="9"/>
  <c r="B9" i="9"/>
  <c r="BF7" i="9"/>
  <c r="BB6" i="9"/>
  <c r="AX5" i="9"/>
  <c r="AT4" i="9"/>
  <c r="AP3" i="9"/>
  <c r="AL2" i="9"/>
  <c r="U12" i="9"/>
  <c r="Q11" i="9"/>
  <c r="M10" i="9"/>
  <c r="I9" i="9"/>
  <c r="E8" i="9"/>
  <c r="A7" i="9"/>
  <c r="BE5" i="9"/>
  <c r="BA4" i="9"/>
  <c r="AW3" i="9"/>
  <c r="AS2" i="9"/>
  <c r="AB12" i="9"/>
  <c r="X11" i="9"/>
  <c r="T10" i="9"/>
  <c r="P9" i="9"/>
  <c r="L8" i="9"/>
  <c r="H7" i="9"/>
  <c r="D6" i="9"/>
  <c r="BH4" i="9"/>
  <c r="BD3" i="9"/>
  <c r="AZ2" i="9"/>
  <c r="K4" i="9"/>
  <c r="G3" i="9"/>
  <c r="C2" i="9"/>
  <c r="AT11" i="9"/>
  <c r="AP10" i="9"/>
  <c r="AL9" i="9"/>
  <c r="AH8" i="9"/>
  <c r="AD7" i="9"/>
  <c r="Z6" i="9"/>
  <c r="V5" i="9"/>
  <c r="R4" i="9"/>
  <c r="N3" i="9"/>
  <c r="J2" i="9"/>
  <c r="M11" i="9"/>
  <c r="I10" i="9"/>
  <c r="E9" i="9"/>
  <c r="A8" i="9"/>
  <c r="BE6" i="9"/>
  <c r="BA5" i="9"/>
  <c r="AW4" i="9"/>
  <c r="AS3" i="9"/>
  <c r="AO2" i="9"/>
  <c r="K7" i="9"/>
  <c r="P4" i="9"/>
  <c r="X6" i="9"/>
  <c r="K3" i="9"/>
  <c r="F12" i="9"/>
  <c r="B11" i="9"/>
  <c r="BF9" i="9"/>
  <c r="BB8" i="9"/>
  <c r="AX7" i="9"/>
  <c r="AT6" i="9"/>
  <c r="AP5" i="9"/>
  <c r="AL4" i="9"/>
  <c r="AH3" i="9"/>
  <c r="AD2" i="9"/>
  <c r="M12" i="9"/>
  <c r="I11" i="9"/>
  <c r="E10" i="9"/>
  <c r="A9" i="9"/>
  <c r="BE7" i="9"/>
  <c r="BA6" i="9"/>
  <c r="AW5" i="9"/>
  <c r="AS4" i="9"/>
  <c r="AO3" i="9"/>
  <c r="AK2" i="9"/>
  <c r="T12" i="9"/>
  <c r="P11" i="9"/>
  <c r="L10" i="9"/>
  <c r="H9" i="9"/>
  <c r="D8" i="9"/>
  <c r="BH6" i="9"/>
  <c r="BD5" i="9"/>
  <c r="AZ4" i="9"/>
  <c r="AV3" i="9"/>
  <c r="AR2" i="9"/>
  <c r="C4" i="9"/>
  <c r="BG2" i="9"/>
  <c r="AP12" i="9"/>
  <c r="AL11" i="9"/>
  <c r="AH10" i="9"/>
  <c r="AD9" i="9"/>
  <c r="Z8" i="9"/>
  <c r="V7" i="9"/>
  <c r="R6" i="9"/>
  <c r="N5" i="9"/>
  <c r="J4" i="9"/>
  <c r="F3" i="9"/>
  <c r="B2" i="9"/>
  <c r="E11" i="9"/>
  <c r="A10" i="9"/>
  <c r="BE8" i="9"/>
  <c r="BA7" i="9"/>
  <c r="AW6" i="9"/>
  <c r="AS5" i="9"/>
  <c r="AO4" i="9"/>
  <c r="AK3" i="9"/>
  <c r="AG2" i="9"/>
  <c r="AC15" i="9"/>
  <c r="Y14" i="9"/>
  <c r="U13" i="9"/>
  <c r="AM11" i="9"/>
  <c r="AV8" i="9"/>
  <c r="BG5" i="9"/>
  <c r="AE2" i="9"/>
  <c r="BH15" i="9"/>
  <c r="BD14" i="9"/>
  <c r="AZ13" i="9"/>
  <c r="AV12" i="9"/>
  <c r="K10" i="9"/>
  <c r="T7" i="9"/>
  <c r="AE4" i="9"/>
  <c r="AI6" i="9"/>
  <c r="AA3" i="9"/>
  <c r="M16" i="9"/>
  <c r="I15" i="9"/>
  <c r="E14" i="9"/>
  <c r="A13" i="9"/>
  <c r="AU10" i="9"/>
  <c r="BC7" i="9"/>
  <c r="D5" i="9"/>
  <c r="AZ16" i="9"/>
  <c r="AV15" i="9"/>
  <c r="AR14" i="9"/>
  <c r="AN13" i="9"/>
  <c r="X12" i="9"/>
  <c r="AM9" i="9"/>
  <c r="AV6" i="9"/>
  <c r="AR3" i="9"/>
  <c r="C6" i="9"/>
  <c r="AM2" i="9"/>
  <c r="BF11" i="9"/>
  <c r="BB10" i="9"/>
  <c r="AX9" i="9"/>
  <c r="AT8" i="9"/>
  <c r="AP7" i="9"/>
  <c r="AL6" i="9"/>
  <c r="AH5" i="9"/>
  <c r="AD4" i="9"/>
  <c r="Z3" i="9"/>
  <c r="V2" i="9"/>
  <c r="E12" i="9"/>
  <c r="A11" i="9"/>
  <c r="BE9" i="9"/>
  <c r="BA8" i="9"/>
  <c r="AW7" i="9"/>
  <c r="AS6" i="9"/>
  <c r="AO5" i="9"/>
  <c r="AK4" i="9"/>
  <c r="AG3" i="9"/>
  <c r="AC2" i="9"/>
  <c r="L12" i="9"/>
  <c r="H11" i="9"/>
  <c r="D10" i="9"/>
  <c r="BH8" i="9"/>
  <c r="BD7" i="9"/>
  <c r="AZ6" i="9"/>
  <c r="AV5" i="9"/>
  <c r="AR4" i="9"/>
  <c r="AN3" i="9"/>
  <c r="AJ2" i="9"/>
  <c r="BC3" i="9"/>
  <c r="AY2" i="9"/>
  <c r="AH12" i="9"/>
  <c r="AD11" i="9"/>
  <c r="Z10" i="9"/>
  <c r="V9" i="9"/>
  <c r="R8" i="9"/>
  <c r="N7" i="9"/>
  <c r="J6" i="9"/>
  <c r="F5" i="9"/>
  <c r="B4" i="9"/>
  <c r="BF2" i="9"/>
  <c r="A12" i="9"/>
  <c r="BE10" i="9"/>
  <c r="BA9" i="9"/>
  <c r="AW8" i="9"/>
  <c r="AS7" i="9"/>
  <c r="AO6" i="9"/>
  <c r="AK5" i="9"/>
  <c r="AG4" i="9"/>
  <c r="AC3" i="9"/>
  <c r="Y2" i="9"/>
  <c r="U15" i="9"/>
  <c r="Q14" i="9"/>
  <c r="M13" i="9"/>
  <c r="S11" i="9"/>
  <c r="AA8" i="9"/>
  <c r="AJ5" i="9"/>
  <c r="BD16" i="9"/>
  <c r="AZ15" i="9"/>
  <c r="AV14" i="9"/>
  <c r="AR13" i="9"/>
  <c r="AF12" i="9"/>
  <c r="AY9" i="9"/>
  <c r="BG6" i="9"/>
  <c r="BH3" i="9"/>
  <c r="O6" i="9"/>
  <c r="BC2" i="9"/>
  <c r="E16" i="9"/>
  <c r="A15" i="9"/>
  <c r="BE13" i="9"/>
  <c r="BA12" i="9"/>
  <c r="X10" i="9"/>
  <c r="AI7" i="9"/>
  <c r="AQ4" i="9"/>
  <c r="AR16" i="9"/>
  <c r="AN15" i="9"/>
  <c r="AJ14" i="9"/>
  <c r="AF13" i="9"/>
  <c r="H12" i="9"/>
  <c r="S9" i="9"/>
  <c r="AA6" i="9"/>
  <c r="L3" i="9"/>
  <c r="AQ5" i="9"/>
  <c r="G2" i="9"/>
  <c r="AX11" i="9"/>
  <c r="AT10" i="9"/>
  <c r="AP9" i="9"/>
  <c r="AL8" i="9"/>
  <c r="AH7" i="9"/>
  <c r="AD6" i="9"/>
  <c r="Z5" i="9"/>
  <c r="V4" i="9"/>
  <c r="R3" i="9"/>
  <c r="N2" i="9"/>
  <c r="BE11" i="9"/>
  <c r="BA10" i="9"/>
  <c r="AW9" i="9"/>
  <c r="AS8" i="9"/>
  <c r="AO7" i="9"/>
  <c r="AK6" i="9"/>
  <c r="AG5" i="9"/>
  <c r="AC4" i="9"/>
  <c r="Y3" i="9"/>
  <c r="U2" i="9"/>
  <c r="D12" i="9"/>
  <c r="BH10" i="9"/>
  <c r="BD9" i="9"/>
  <c r="AZ8" i="9"/>
  <c r="AV7" i="9"/>
  <c r="AR6" i="9"/>
  <c r="AN5" i="9"/>
  <c r="AJ4" i="9"/>
  <c r="AF3" i="9"/>
  <c r="AB2" i="9"/>
  <c r="AU3" i="9"/>
  <c r="AQ2" i="9"/>
  <c r="Z12" i="9"/>
  <c r="V11" i="9"/>
  <c r="R10" i="9"/>
  <c r="N9" i="9"/>
  <c r="J8" i="9"/>
  <c r="F7" i="9"/>
  <c r="B6" i="9"/>
  <c r="BF4" i="9"/>
  <c r="BB3" i="9"/>
  <c r="AX2" i="9"/>
  <c r="BA11" i="9"/>
  <c r="AW10" i="9"/>
  <c r="AS9" i="9"/>
  <c r="AO8" i="9"/>
  <c r="AK7" i="9"/>
  <c r="AG6" i="9"/>
  <c r="AC5" i="9"/>
  <c r="Y4" i="9"/>
  <c r="U3" i="9"/>
  <c r="Q2" i="9"/>
  <c r="M15" i="9"/>
  <c r="I14" i="9"/>
  <c r="E13" i="9"/>
  <c r="BD10" i="9"/>
  <c r="G8" i="9"/>
  <c r="O5" i="9"/>
  <c r="AV16" i="9"/>
  <c r="AR15" i="9"/>
  <c r="AN14" i="9"/>
  <c r="AJ13" i="9"/>
  <c r="P12" i="9"/>
  <c r="AB9" i="9"/>
  <c r="AM6" i="9"/>
  <c r="AB3" i="9"/>
  <c r="AZ5" i="9"/>
  <c r="W2" i="9"/>
  <c r="BE15" i="9"/>
  <c r="BA14" i="9"/>
  <c r="AW13" i="9"/>
  <c r="AO12" i="9"/>
  <c r="C10" i="9"/>
  <c r="L7" i="9"/>
  <c r="W4" i="9"/>
  <c r="AJ16" i="9"/>
  <c r="AF15" i="9"/>
  <c r="AB14" i="9"/>
  <c r="X13" i="9"/>
  <c r="AU11" i="9"/>
  <c r="BD8" i="9"/>
  <c r="G6" i="9"/>
  <c r="AN2" i="9"/>
  <c r="T5" i="9"/>
  <c r="AT12" i="9"/>
  <c r="AP11" i="9"/>
  <c r="AL10" i="9"/>
  <c r="AH9" i="9"/>
  <c r="AD8" i="9"/>
  <c r="Z7" i="9"/>
  <c r="V6" i="9"/>
  <c r="R5" i="9"/>
  <c r="N4" i="9"/>
  <c r="J3" i="9"/>
  <c r="F2" i="9"/>
  <c r="AW11" i="9"/>
  <c r="AS10" i="9"/>
  <c r="AO9" i="9"/>
  <c r="AK8" i="9"/>
  <c r="AG7" i="9"/>
  <c r="AC6" i="9"/>
  <c r="Y5" i="9"/>
  <c r="U4" i="9"/>
  <c r="Q3" i="9"/>
  <c r="M2" i="9"/>
  <c r="BD11" i="9"/>
  <c r="AZ10" i="9"/>
  <c r="AV9" i="9"/>
  <c r="AR8" i="9"/>
  <c r="AN7" i="9"/>
  <c r="AJ6" i="9"/>
  <c r="AF5" i="9"/>
  <c r="AB4" i="9"/>
  <c r="X3" i="9"/>
  <c r="T2" i="9"/>
  <c r="AM3" i="9"/>
  <c r="AI2" i="9"/>
  <c r="R12" i="9"/>
  <c r="N11" i="9"/>
  <c r="J10" i="9"/>
  <c r="F9" i="9"/>
  <c r="B8" i="9"/>
  <c r="BF6" i="9"/>
  <c r="BB5" i="9"/>
  <c r="AX4" i="9"/>
  <c r="AT3" i="9"/>
  <c r="AP2" i="9"/>
  <c r="AS11" i="9"/>
  <c r="AO10" i="9"/>
  <c r="AK9" i="9"/>
  <c r="AG8" i="9"/>
  <c r="AC7" i="9"/>
  <c r="Y6" i="9"/>
  <c r="U5" i="9"/>
  <c r="Q4" i="9"/>
  <c r="M3" i="9"/>
  <c r="I2" i="9"/>
  <c r="E15" i="9"/>
  <c r="A14" i="9"/>
  <c r="BE12" i="9"/>
  <c r="AI10" i="9"/>
  <c r="AR7" i="9"/>
  <c r="BC4" i="9"/>
  <c r="AN16" i="9"/>
  <c r="AJ15" i="9"/>
  <c r="AF14" i="9"/>
  <c r="AB13" i="9"/>
  <c r="BG11" i="9"/>
  <c r="G9" i="9"/>
  <c r="P6" i="9"/>
  <c r="BD2" i="9"/>
  <c r="AE5" i="9"/>
  <c r="BA16" i="9"/>
  <c r="AW15" i="9"/>
  <c r="AS14" i="9"/>
  <c r="AO13" i="9"/>
  <c r="Y12" i="9"/>
  <c r="AQ9" i="9"/>
  <c r="AY6" i="9"/>
  <c r="AY3" i="9"/>
  <c r="AB16" i="9"/>
  <c r="X15" i="9"/>
  <c r="T14" i="9"/>
  <c r="P13" i="9"/>
  <c r="AA11" i="9"/>
  <c r="AI8" i="9"/>
  <c r="AR5" i="9"/>
  <c r="H2" i="9"/>
  <c r="BG4" i="9"/>
  <c r="AL12" i="9"/>
  <c r="AH11" i="9"/>
  <c r="AD10" i="9"/>
  <c r="Z9" i="9"/>
  <c r="V8" i="9"/>
  <c r="R7" i="9"/>
  <c r="N6" i="9"/>
  <c r="J5" i="9"/>
  <c r="F4" i="9"/>
  <c r="B3" i="9"/>
  <c r="AS12" i="9"/>
  <c r="AO11" i="9"/>
  <c r="AK10" i="9"/>
  <c r="AG9" i="9"/>
  <c r="AC8" i="9"/>
  <c r="Y7" i="9"/>
  <c r="U6" i="9"/>
  <c r="Q5" i="9"/>
  <c r="M4" i="9"/>
  <c r="I3" i="9"/>
  <c r="E2" i="9"/>
  <c r="AV11" i="9"/>
  <c r="AR10" i="9"/>
  <c r="AN9" i="9"/>
  <c r="AJ8" i="9"/>
  <c r="AF7" i="9"/>
  <c r="AB6" i="9"/>
  <c r="X5" i="9"/>
  <c r="T4" i="9"/>
  <c r="P3" i="9"/>
  <c r="L2" i="9"/>
  <c r="AE3" i="9"/>
  <c r="AA2" i="9"/>
  <c r="J12" i="9"/>
  <c r="F11" i="9"/>
  <c r="B10" i="9"/>
  <c r="BF8" i="9"/>
  <c r="BB7" i="9"/>
  <c r="AX6" i="9"/>
  <c r="AT5" i="9"/>
  <c r="AP4" i="9"/>
  <c r="AL3" i="9"/>
  <c r="AH2" i="9"/>
  <c r="AK11" i="9"/>
  <c r="AG10" i="9"/>
  <c r="AC9" i="9"/>
  <c r="Y8" i="9"/>
  <c r="U7" i="9"/>
  <c r="Q6" i="9"/>
  <c r="M5" i="9"/>
  <c r="I4" i="9"/>
  <c r="E3" i="9"/>
  <c r="B3" i="10" a="1"/>
  <c r="B3" i="10" l="1"/>
  <c r="B11" i="10"/>
  <c r="B4" i="10"/>
  <c r="B12" i="10"/>
  <c r="B5" i="10"/>
  <c r="B13" i="10"/>
  <c r="B6" i="10"/>
  <c r="B14" i="10"/>
  <c r="B7" i="10"/>
  <c r="B15" i="10"/>
  <c r="B8" i="10"/>
  <c r="B16" i="10"/>
  <c r="B9" i="10"/>
  <c r="B10" i="10"/>
  <c r="B17" i="10"/>
  <c r="B15" i="11" l="1"/>
</calcChain>
</file>

<file path=xl/sharedStrings.xml><?xml version="1.0" encoding="utf-8"?>
<sst xmlns="http://schemas.openxmlformats.org/spreadsheetml/2006/main" count="208" uniqueCount="70">
  <si>
    <t>C(1)</t>
  </si>
  <si>
    <t>C(2)</t>
  </si>
  <si>
    <t>Número de Polos (P)</t>
  </si>
  <si>
    <t>Distância Máxima Entre os Polos</t>
  </si>
  <si>
    <t>Sigma ao 2</t>
  </si>
  <si>
    <t>Licões (l)</t>
  </si>
  <si>
    <t>Matrix de Base Radial [R]</t>
  </si>
  <si>
    <t>Matrix [R]^t</t>
  </si>
  <si>
    <t>Matrix [R]^t.[R]</t>
  </si>
  <si>
    <t>Matrix ([R]^t.[R])^(-1)</t>
  </si>
  <si>
    <t>Matrix (((R)^t.(R))^(-1)).(R)^t</t>
  </si>
  <si>
    <t>Solução</t>
  </si>
  <si>
    <t>Descrição</t>
  </si>
  <si>
    <t>([VS]=(1/[R]).[a]</t>
  </si>
  <si>
    <t>Função de Base Radial</t>
  </si>
  <si>
    <t>VS(1)</t>
  </si>
  <si>
    <t>VS(2)</t>
  </si>
  <si>
    <t>b</t>
  </si>
  <si>
    <t>Coeficiente de Acerto (R^2)</t>
  </si>
  <si>
    <t>Função Teórica</t>
  </si>
  <si>
    <t>Função Selecionada</t>
  </si>
  <si>
    <t>C(3)</t>
  </si>
  <si>
    <t>VS(3)</t>
  </si>
  <si>
    <t>Média</t>
  </si>
  <si>
    <t>R^2</t>
  </si>
  <si>
    <t>Outlayers</t>
  </si>
  <si>
    <t>Gaussiana (G)</t>
  </si>
  <si>
    <t>Números decimais</t>
  </si>
  <si>
    <t>-</t>
  </si>
  <si>
    <t>Turbina (Lições)</t>
  </si>
  <si>
    <t>ρe (kg/(m^3))</t>
  </si>
  <si>
    <t>Te(K)</t>
  </si>
  <si>
    <t>Ve (m/s)</t>
  </si>
  <si>
    <t>Ae (m^2)</t>
  </si>
  <si>
    <t>Pe (N/(m^2))</t>
  </si>
  <si>
    <t>mPonto (kg/s)</t>
  </si>
  <si>
    <t>ρs (kg/(m^3))</t>
  </si>
  <si>
    <t>Ts (K)</t>
  </si>
  <si>
    <t>Vs (m/s)</t>
  </si>
  <si>
    <t>As (m^2)</t>
  </si>
  <si>
    <t>Ps (N/(m^2))</t>
  </si>
  <si>
    <t>RMédio (m)</t>
  </si>
  <si>
    <t>L (m)</t>
  </si>
  <si>
    <t>t (s)</t>
  </si>
  <si>
    <t>F (N) Teórica</t>
  </si>
  <si>
    <t>C(4)</t>
  </si>
  <si>
    <t>C(5)</t>
  </si>
  <si>
    <t>C(6)</t>
  </si>
  <si>
    <t>C(7)</t>
  </si>
  <si>
    <t>C(8)</t>
  </si>
  <si>
    <t>C(9)</t>
  </si>
  <si>
    <t>C(10)</t>
  </si>
  <si>
    <t>C(11)</t>
  </si>
  <si>
    <t>C(12)</t>
  </si>
  <si>
    <t>C(13)</t>
  </si>
  <si>
    <t>C(14)</t>
  </si>
  <si>
    <t>VS(4)</t>
  </si>
  <si>
    <t>VS(5)</t>
  </si>
  <si>
    <t>VS(6)</t>
  </si>
  <si>
    <t>VS(7)</t>
  </si>
  <si>
    <t>VS(8)</t>
  </si>
  <si>
    <t>VS(9)</t>
  </si>
  <si>
    <t>VS(10)</t>
  </si>
  <si>
    <t>VS(11)</t>
  </si>
  <si>
    <t>VS(12)</t>
  </si>
  <si>
    <t>VS(13)</t>
  </si>
  <si>
    <t>VS(14)</t>
  </si>
  <si>
    <t>F (N)</t>
  </si>
  <si>
    <t>F (N) Experimental</t>
  </si>
  <si>
    <t>f(X) = -4859506,48485 * EXP(-6,63889E-11 * ||X - (0,00000;0,00000;0,00000;0,00000;0,00000;0,00000;0,00000;0,00000;0,00000;0,00000;0,00000;0,00000;0,00000;0,00000)|| ^ 2)
+10259336560,36950 * EXP(-6,63889E-11 * ||X - (69431,04046;29800,11984;95837,95972;43809,74090;198419,77308;26041,24653;5767,67368;68964,85286;109353,77017;184287,67527;107472,42930;81150,73556;169170,74114;164973,64840)|| ^ 2)
+37252237133,19350 * EXP(-6,63889E-11 * ||X - (134264,59511;144141,84295;199026,78930;67849,57779;98879,56275;82457,88413;138827,92796;35759,02824;84444,70662;108456,94429;162665,13254;108005,00260;85366,20399;101646,37561)|| ^ 2)
+33339335594,36770 * EXP(-6,63889E-11 * ||X - (45481,48717;123634,08733;97805,15690;135940,19742;177028,72341;73981,34133;60400,13299;58477,14932;30012,88019;105790,16223;44579,00816;116713,81205;72572,32915;174907,13009)|| ^ 2)
+500926370034,46000 * EXP(-6,63889E-11 * ||X - (95445,78659;38064,05700;136587,71392;149237,59438;122585,28127;156170,77071;32295,60583;161290,56286;40457,09621;191038,14215;13148,57863;12284,24342;158378,91062;75796,22508)|| ^ 2)
+15453759402,57550 * EXP(-6,63889E-11 * ||X - (92564,49469;23869,53664;23056,09158;34697,59485;9607,97599;142728,41537;106429,34779;112017,54118;43275,50141;93447,37219;149025,73853;150215,00426;79655,39103;180323,05151)|| ^ 2)
+433352446782,15500 * EXP(-6,63889E-11 * ||X - (148956,28228;17682,81268;126705,74125;142371,32740;3131,33527;86087,22319;80264,45428;54968,65651;196751,03785;160253,78906;138991,45244;83382,64246;146656,32349;55342,62059)|| ^ 2)
+2502506915,71944 * EXP(-6,63889E-11 * ||X - (71200,10403;86549,01919;188683,73471;24270,06451;128978,04131;69452,26056;20852,15285;37019,59493;15511,42413;86409,72585;191539,01027;108227,77198;98712,92011;194273,66570)|| ^ 2)
-21243424357,37860 * EXP(-6,63889E-11 * ||X - (43488,41648;75673,73644;79038,80613;56208,20543;100508,85693;27700,88914;103281,22772;192755,72051;111317,03990;181542,10631;131235,34568;88078,00883;138371,22573;12877,04943)|| ^ 2)
-1036864787200,35000 * EXP(-6,63889E-11 * ||X - (150970,10892;139872,71136;99250,88472;31036,07455;44674,00470;65121,64662;156639,98125;10036,05549;103432,99367;151157,18617;159870,91088;64934,24804;194226,21504;160589,19277)|| ^ 2)
-1585547728052,53000 * EXP(-6,63889E-11 * ||X - (134743,50525;180728,48274;174868,20079;83192,79220;24576,13141;190518,10097;159197,50895;139028,23950;80188,97595;3254,19286;33497,45129;32792,87974;101776,54063;81079,13707)|| ^ 2)
-301674288423,45200 * EXP(-6,63889E-11 * ||X - (21191,88865;55133,94240;128398,08876;169541,02770;99430,23800;37493,33989;179028,74450;74440,37622;64604,66408;153913,29972;43528,45260;89251,79092;47128,01450;175388,32528)|| ^ 2)
+23837936838,47300 * EXP(-6,63889E-11 * ||X - (121886,00582;74763,42634;77772,40777;171835,10722;116995,07655;186005,82489;103268,56469;65951,64644;173405,40643;51727,08708;51823,00003;35680,00330;69277,44169;500,31676)|| ^ 2)
-193785075691,79800 * EXP(-6,63889E-11 * ||X - (148224,51616;167901,14132;55626,36056;140363,07059;80839,90813;162047,63124;148112,42929;87388,99234;15570,50241;81991,42280;67763,54296;141877,39777;62355,02418;159492,26957)|| ^ 2)
-33239,63967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</si>
</sst>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7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3F3F3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4" fillId="2" borderId="3" applyNumberFormat="0" applyAlignment="0" applyProtection="0"/>
  </cellStyleXfs>
  <cellXfs count="12">
    <xf numFmtId="0" fontId="0" fillId="0" borderId="0" xfId="0"/>
    <xf numFmtId="0" fontId="6" fillId="3" borderId="2" xfId="2" applyFont="1" applyProtection="1">
      <protection hidden="1"/>
    </xf>
    <xf numFmtId="0" fontId="4" fillId="2" borderId="3" xfId="3" applyProtection="1">
      <protection locked="0" hidden="1"/>
    </xf>
    <xf numFmtId="164" fontId="1" fillId="2" borderId="1" xfId="1" applyNumberFormat="1" applyProtection="1">
      <protection hidden="1"/>
    </xf>
    <xf numFmtId="165" fontId="1" fillId="2" borderId="1" xfId="1" applyNumberFormat="1" applyProtection="1">
      <protection hidden="1"/>
    </xf>
    <xf numFmtId="0" fontId="1" fillId="2" borderId="1" xfId="1" applyAlignment="1" applyProtection="1">
      <alignment wrapText="1"/>
      <protection hidden="1"/>
    </xf>
    <xf numFmtId="0" fontId="1" fillId="2" borderId="1" xfId="1" applyProtection="1">
      <protection hidden="1"/>
    </xf>
    <xf numFmtId="2" fontId="5" fillId="0" borderId="0" xfId="0" applyNumberFormat="1" applyFont="1"/>
    <xf numFmtId="1" fontId="5" fillId="0" borderId="0" xfId="0" applyNumberFormat="1" applyFont="1"/>
    <xf numFmtId="2" fontId="0" fillId="0" borderId="0" xfId="0" applyNumberFormat="1"/>
    <xf numFmtId="1" fontId="0" fillId="0" borderId="0" xfId="0" applyNumberFormat="1"/>
    <xf numFmtId="0" fontId="0" fillId="0" borderId="0" xfId="0"/>
  </cellXfs>
  <cellStyles count="4">
    <cellStyle name="Calculation" xfId="1" builtinId="22"/>
    <cellStyle name="Check Cell" xfId="2" builtinId="23"/>
    <cellStyle name="Normal" xfId="0" builtinId="0"/>
    <cellStyle name="Output" xfId="3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99060</xdr:rowOff>
        </xdr:from>
        <xdr:to>
          <xdr:col>4</xdr:col>
          <xdr:colOff>228600</xdr:colOff>
          <xdr:row>8</xdr:row>
          <xdr:rowOff>30480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formulário de configuração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"/>
  <sheetViews>
    <sheetView zoomScale="130" zoomScaleNormal="130" workbookViewId="0"/>
  </sheetViews>
  <sheetFormatPr defaultColWidth="9.109375" defaultRowHeight="14.4" x14ac:dyDescent="0.3"/>
  <cols>
    <col min="1" max="1" width="9.109375" style="8"/>
    <col min="2" max="16384" width="9.109375" style="7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ecutar">
                <anchor moveWithCells="1" sizeWithCells="1">
                  <from>
                    <xdr:col>1</xdr:col>
                    <xdr:colOff>0</xdr:colOff>
                    <xdr:row>2</xdr:row>
                    <xdr:rowOff>99060</xdr:rowOff>
                  </from>
                  <to>
                    <xdr:col>4</xdr:col>
                    <xdr:colOff>228600</xdr:colOff>
                    <xdr:row>8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P61"/>
  <sheetViews>
    <sheetView zoomScaleNormal="100" workbookViewId="0">
      <selection sqref="A1:P61"/>
    </sheetView>
  </sheetViews>
  <sheetFormatPr defaultRowHeight="14.4" x14ac:dyDescent="0.3"/>
  <cols>
    <col min="1" max="1" width="16.6640625" bestFit="1" customWidth="1"/>
    <col min="2" max="2" width="17.109375" bestFit="1" customWidth="1"/>
    <col min="3" max="3" width="8.109375" bestFit="1" customWidth="1"/>
    <col min="4" max="4" width="10.109375" bestFit="1" customWidth="1"/>
    <col min="5" max="5" width="10.21875" bestFit="1" customWidth="1"/>
    <col min="6" max="6" width="13.6640625" bestFit="1" customWidth="1"/>
    <col min="7" max="7" width="14.21875" bestFit="1" customWidth="1"/>
    <col min="8" max="8" width="16.88671875" bestFit="1" customWidth="1"/>
    <col min="9" max="9" width="8.109375" bestFit="1" customWidth="1"/>
    <col min="10" max="10" width="10" bestFit="1" customWidth="1"/>
    <col min="11" max="11" width="10.109375" bestFit="1" customWidth="1"/>
    <col min="12" max="12" width="13.44140625" bestFit="1" customWidth="1"/>
    <col min="13" max="13" width="13" bestFit="1" customWidth="1"/>
    <col min="14" max="14" width="5.88671875" bestFit="1" customWidth="1"/>
    <col min="15" max="15" width="8.109375" bestFit="1" customWidth="1"/>
    <col min="16" max="16" width="13.109375" bestFit="1" customWidth="1"/>
  </cols>
  <sheetData>
    <row r="1" spans="1:16" x14ac:dyDescent="0.3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67</v>
      </c>
    </row>
    <row r="2" spans="1:16" x14ac:dyDescent="0.3">
      <c r="A2">
        <v>1</v>
      </c>
      <c r="B2">
        <v>1.1667530292701285</v>
      </c>
      <c r="C2">
        <v>286.66781485369677</v>
      </c>
      <c r="D2">
        <v>49.320530346724809</v>
      </c>
      <c r="E2">
        <v>0.16965971584048542</v>
      </c>
      <c r="F2">
        <v>100000</v>
      </c>
      <c r="G2">
        <v>2.295154926737681</v>
      </c>
      <c r="H2">
        <v>0.4126623629590726</v>
      </c>
      <c r="I2">
        <v>763.12336098254946</v>
      </c>
      <c r="J2">
        <v>658.63039850330097</v>
      </c>
      <c r="K2">
        <v>4.6033458396396595E-2</v>
      </c>
      <c r="L2">
        <v>192584.85386646137</v>
      </c>
      <c r="M2">
        <v>0.14992799634844137</v>
      </c>
      <c r="N2">
        <v>0.78927563588214744</v>
      </c>
      <c r="O2">
        <v>240.59562282956699</v>
      </c>
      <c r="P2">
        <v>2540.1111195078629</v>
      </c>
    </row>
    <row r="3" spans="1:16" x14ac:dyDescent="0.3">
      <c r="A3">
        <v>2</v>
      </c>
      <c r="B3">
        <v>1.1637387993215749</v>
      </c>
      <c r="C3">
        <v>290.32608405394734</v>
      </c>
      <c r="D3">
        <v>76.356998217360712</v>
      </c>
      <c r="E3">
        <v>0.15408288442378273</v>
      </c>
      <c r="F3">
        <v>100000</v>
      </c>
      <c r="G3">
        <v>9.8468249107742398</v>
      </c>
      <c r="H3">
        <v>0.4045255822862811</v>
      </c>
      <c r="I3">
        <v>757.44703132454254</v>
      </c>
      <c r="J3">
        <v>557.67749827552518</v>
      </c>
      <c r="K3">
        <v>3.6015896098957501E-2</v>
      </c>
      <c r="L3">
        <v>137362.82880296651</v>
      </c>
      <c r="M3">
        <v>8.9715847756492551E-2</v>
      </c>
      <c r="N3">
        <v>0.6519625179348818</v>
      </c>
      <c r="O3">
        <v>186.19577049529653</v>
      </c>
      <c r="P3">
        <v>2772.9128895238318</v>
      </c>
    </row>
    <row r="4" spans="1:16" x14ac:dyDescent="0.3">
      <c r="A4">
        <v>3</v>
      </c>
      <c r="B4">
        <v>1.2044158756957899</v>
      </c>
      <c r="C4">
        <v>292.14325950932323</v>
      </c>
      <c r="D4">
        <v>13.784159862966366</v>
      </c>
      <c r="E4">
        <v>0.13519853459984163</v>
      </c>
      <c r="F4">
        <v>100000</v>
      </c>
      <c r="G4">
        <v>6.4358138575449297</v>
      </c>
      <c r="H4">
        <v>0.47521773855147065</v>
      </c>
      <c r="I4">
        <v>859.52565190576479</v>
      </c>
      <c r="J4">
        <v>517.43981495248045</v>
      </c>
      <c r="K4">
        <v>1.7006569355698664E-2</v>
      </c>
      <c r="L4">
        <v>185485.27945778327</v>
      </c>
      <c r="M4">
        <v>0.16777236757156772</v>
      </c>
      <c r="N4">
        <v>0.43828899956512724</v>
      </c>
      <c r="O4">
        <v>239.06278275957965</v>
      </c>
      <c r="P4">
        <v>1994.1680413612557</v>
      </c>
    </row>
    <row r="5" spans="1:16" x14ac:dyDescent="0.3">
      <c r="A5">
        <v>4</v>
      </c>
      <c r="B5">
        <v>1.2018688128286317</v>
      </c>
      <c r="C5">
        <v>287.61774275795892</v>
      </c>
      <c r="D5">
        <v>8.6713341362277312</v>
      </c>
      <c r="E5">
        <v>0.14513980393738357</v>
      </c>
      <c r="F5">
        <v>100000</v>
      </c>
      <c r="G5">
        <v>3.9557365545934529</v>
      </c>
      <c r="H5">
        <v>0.40536326269660922</v>
      </c>
      <c r="I5">
        <v>746.3217180846417</v>
      </c>
      <c r="J5">
        <v>210.30805809632758</v>
      </c>
      <c r="K5">
        <v>7.3861776337964147E-2</v>
      </c>
      <c r="L5">
        <v>134020.17059652868</v>
      </c>
      <c r="M5">
        <v>9.2737693283689776E-2</v>
      </c>
      <c r="N5">
        <v>0.35417266633745054</v>
      </c>
      <c r="O5">
        <v>224.56427150900089</v>
      </c>
      <c r="P5">
        <v>941.24542910436139</v>
      </c>
    </row>
    <row r="6" spans="1:16" x14ac:dyDescent="0.3">
      <c r="A6">
        <v>5</v>
      </c>
      <c r="B6">
        <v>1.1624211650174012</v>
      </c>
      <c r="C6">
        <v>295.2257330474572</v>
      </c>
      <c r="D6">
        <v>48.629963933721875</v>
      </c>
      <c r="E6">
        <v>0.14641587052709071</v>
      </c>
      <c r="F6">
        <v>100000</v>
      </c>
      <c r="G6">
        <v>4.458847216472912</v>
      </c>
      <c r="H6">
        <v>0.5195577076855552</v>
      </c>
      <c r="I6">
        <v>804.08653698499779</v>
      </c>
      <c r="J6">
        <v>101.83915416795141</v>
      </c>
      <c r="K6">
        <v>5.9270832515313294E-2</v>
      </c>
      <c r="L6">
        <v>166657.7923230585</v>
      </c>
      <c r="M6">
        <v>0.16382232942267907</v>
      </c>
      <c r="N6">
        <v>0.75663519499451459</v>
      </c>
      <c r="O6">
        <v>180.88562253366283</v>
      </c>
      <c r="P6">
        <v>924.96078076649428</v>
      </c>
    </row>
    <row r="7" spans="1:16" x14ac:dyDescent="0.3">
      <c r="A7">
        <v>6</v>
      </c>
      <c r="B7">
        <v>1.1705519537285254</v>
      </c>
      <c r="C7">
        <v>296.41512812195037</v>
      </c>
      <c r="D7">
        <v>17.09713766634048</v>
      </c>
      <c r="E7">
        <v>1.1297325946142467E-2</v>
      </c>
      <c r="F7">
        <v>100000</v>
      </c>
      <c r="G7">
        <v>7.797394521943243</v>
      </c>
      <c r="H7">
        <v>0.42511131650732253</v>
      </c>
      <c r="I7">
        <v>837.90801417929572</v>
      </c>
      <c r="J7">
        <v>302.03935286183753</v>
      </c>
      <c r="K7">
        <v>4.7695453847198456E-2</v>
      </c>
      <c r="L7">
        <v>153967.22939929293</v>
      </c>
      <c r="M7">
        <v>9.8065370514674718E-2</v>
      </c>
      <c r="N7">
        <v>0.38261673701297944</v>
      </c>
      <c r="O7">
        <v>253.5264895781134</v>
      </c>
      <c r="P7">
        <v>1149.0235776170666</v>
      </c>
    </row>
    <row r="8" spans="1:16" x14ac:dyDescent="0.3">
      <c r="A8">
        <v>7</v>
      </c>
      <c r="B8">
        <v>1.1844912972126356</v>
      </c>
      <c r="C8">
        <v>292.49460715577453</v>
      </c>
      <c r="D8">
        <v>33.127492000668468</v>
      </c>
      <c r="E8">
        <v>7.9639208012270035E-2</v>
      </c>
      <c r="F8">
        <v>100000</v>
      </c>
      <c r="G8">
        <v>5.6658027027726323</v>
      </c>
      <c r="H8">
        <v>0.4371472740198078</v>
      </c>
      <c r="I8">
        <v>754.66903685224577</v>
      </c>
      <c r="J8">
        <v>349.83626512934336</v>
      </c>
      <c r="K8">
        <v>9.6412103175524226E-3</v>
      </c>
      <c r="L8">
        <v>119811.62098438881</v>
      </c>
      <c r="M8">
        <v>0.13250757810119448</v>
      </c>
      <c r="N8">
        <v>0.57735705772685963</v>
      </c>
      <c r="O8">
        <v>183.64603438472477</v>
      </c>
      <c r="P8">
        <v>1387.1107206908564</v>
      </c>
    </row>
    <row r="9" spans="1:16" x14ac:dyDescent="0.3">
      <c r="A9">
        <v>8</v>
      </c>
      <c r="B9">
        <v>1.1752045171504428</v>
      </c>
      <c r="C9">
        <v>297.74115631905158</v>
      </c>
      <c r="D9">
        <v>8.6568593347077503</v>
      </c>
      <c r="E9">
        <v>3.3736437305737742E-2</v>
      </c>
      <c r="F9">
        <v>100000</v>
      </c>
      <c r="G9">
        <v>9.388218612579923</v>
      </c>
      <c r="H9">
        <v>0.50262940547937096</v>
      </c>
      <c r="I9">
        <v>878.12281029710459</v>
      </c>
      <c r="J9">
        <v>67.154104815149424</v>
      </c>
      <c r="K9">
        <v>3.4689302241255798E-2</v>
      </c>
      <c r="L9">
        <v>199671.44947157963</v>
      </c>
      <c r="M9">
        <v>0.10720512038672406</v>
      </c>
      <c r="N9">
        <v>0.46647876339672478</v>
      </c>
      <c r="O9">
        <v>186.42886849743837</v>
      </c>
      <c r="P9">
        <v>1923.1835614032389</v>
      </c>
    </row>
    <row r="10" spans="1:16" x14ac:dyDescent="0.3">
      <c r="A10">
        <v>9</v>
      </c>
      <c r="B10">
        <v>1.1599999999999999</v>
      </c>
      <c r="C10">
        <v>300</v>
      </c>
      <c r="D10">
        <v>2</v>
      </c>
      <c r="E10">
        <v>8.0000000000000002E-3</v>
      </c>
      <c r="F10">
        <v>100000</v>
      </c>
      <c r="G10">
        <v>1.7999999999999999E-2</v>
      </c>
      <c r="H10">
        <v>0.43</v>
      </c>
      <c r="I10">
        <v>800</v>
      </c>
      <c r="J10">
        <v>5</v>
      </c>
      <c r="K10">
        <v>8.0000000000000002E-3</v>
      </c>
      <c r="L10">
        <v>100000</v>
      </c>
      <c r="M10">
        <v>0.05</v>
      </c>
      <c r="N10">
        <v>0.33</v>
      </c>
      <c r="O10">
        <v>260</v>
      </c>
      <c r="P10">
        <v>60</v>
      </c>
    </row>
    <row r="11" spans="1:16" x14ac:dyDescent="0.3">
      <c r="A11">
        <v>10</v>
      </c>
      <c r="B11">
        <v>1.1863645271249033</v>
      </c>
      <c r="C11">
        <v>294.02941129868037</v>
      </c>
      <c r="D11">
        <v>13.037246120227197</v>
      </c>
      <c r="E11">
        <v>9.8599031473302109E-2</v>
      </c>
      <c r="F11">
        <v>100000</v>
      </c>
      <c r="G11">
        <v>2.8359104940982225</v>
      </c>
      <c r="H11">
        <v>0.4006640491038907</v>
      </c>
      <c r="I11">
        <v>875.80464183734</v>
      </c>
      <c r="J11">
        <v>524.92679152448727</v>
      </c>
      <c r="K11">
        <v>5.0520113780222795E-2</v>
      </c>
      <c r="L11">
        <v>118231.58451703473</v>
      </c>
      <c r="M11">
        <v>0.14535954538161339</v>
      </c>
      <c r="N11">
        <v>0.61141248666221903</v>
      </c>
      <c r="O11">
        <v>198.02834093429564</v>
      </c>
      <c r="P11">
        <v>1973.9178719820266</v>
      </c>
    </row>
    <row r="12" spans="1:16" x14ac:dyDescent="0.3">
      <c r="A12">
        <v>11</v>
      </c>
      <c r="B12">
        <v>1.1729645406537783</v>
      </c>
      <c r="C12">
        <v>293.39660969092347</v>
      </c>
      <c r="D12">
        <v>66.486766660015746</v>
      </c>
      <c r="E12">
        <v>0.13917979513766859</v>
      </c>
      <c r="F12">
        <v>100000</v>
      </c>
      <c r="G12">
        <v>0.54758259115975338</v>
      </c>
      <c r="H12">
        <v>0.50760459962582272</v>
      </c>
      <c r="I12">
        <v>757.77837271387534</v>
      </c>
      <c r="J12">
        <v>252.82665385718241</v>
      </c>
      <c r="K12">
        <v>4.9254877084440554E-2</v>
      </c>
      <c r="L12">
        <v>161577.46491429102</v>
      </c>
      <c r="M12">
        <v>9.3950193646043512E-2</v>
      </c>
      <c r="N12">
        <v>0.65428073687006583</v>
      </c>
      <c r="O12">
        <v>242.55474133985615</v>
      </c>
      <c r="P12">
        <v>990.02375374285475</v>
      </c>
    </row>
    <row r="13" spans="1:16" x14ac:dyDescent="0.3">
      <c r="A13">
        <v>12</v>
      </c>
      <c r="B13">
        <v>1.1715399378752125</v>
      </c>
      <c r="C13">
        <v>293.9186882234294</v>
      </c>
      <c r="D13">
        <v>10.639739294747354</v>
      </c>
      <c r="E13">
        <v>0.14589480298499208</v>
      </c>
      <c r="F13">
        <v>100000</v>
      </c>
      <c r="G13">
        <v>6.2802530069970279</v>
      </c>
      <c r="H13">
        <v>0.48129577225547154</v>
      </c>
      <c r="I13">
        <v>796.1142927222711</v>
      </c>
      <c r="J13">
        <v>485.07747877766099</v>
      </c>
      <c r="K13">
        <v>2.3442500483973602E-2</v>
      </c>
      <c r="L13">
        <v>126852.1169651916</v>
      </c>
      <c r="M13">
        <v>5.5247567391543219E-2</v>
      </c>
      <c r="N13">
        <v>0.405983829114971</v>
      </c>
      <c r="O13">
        <v>202.86834376671251</v>
      </c>
      <c r="P13">
        <v>1876.833326313812</v>
      </c>
    </row>
    <row r="14" spans="1:16" x14ac:dyDescent="0.3">
      <c r="A14">
        <v>13</v>
      </c>
      <c r="B14">
        <v>1.1834600513440603</v>
      </c>
      <c r="C14">
        <v>296.79928024976806</v>
      </c>
      <c r="D14">
        <v>51.944594682467695</v>
      </c>
      <c r="E14">
        <v>9.4607762713498134E-2</v>
      </c>
      <c r="F14">
        <v>100000</v>
      </c>
      <c r="G14">
        <v>2.728392895448442</v>
      </c>
      <c r="H14">
        <v>0.49397624430053633</v>
      </c>
      <c r="I14">
        <v>764.25953532885876</v>
      </c>
      <c r="J14">
        <v>198.45624273815665</v>
      </c>
      <c r="K14">
        <v>1.0515926035967847E-2</v>
      </c>
      <c r="L14">
        <v>162181.73402825234</v>
      </c>
      <c r="M14">
        <v>0.1011693044377161</v>
      </c>
      <c r="N14">
        <v>0.41676968418847427</v>
      </c>
      <c r="O14">
        <v>205.09057136416428</v>
      </c>
      <c r="P14">
        <v>855.70743371725985</v>
      </c>
    </row>
    <row r="15" spans="1:16" x14ac:dyDescent="0.3">
      <c r="A15">
        <v>14</v>
      </c>
      <c r="B15">
        <v>1.1788818218014081</v>
      </c>
      <c r="C15">
        <v>291.40269925733168</v>
      </c>
      <c r="D15">
        <v>17.155108207148217</v>
      </c>
      <c r="E15">
        <v>0.12416363904584618</v>
      </c>
      <c r="F15">
        <v>100000</v>
      </c>
      <c r="G15">
        <v>8.6604743009740854</v>
      </c>
      <c r="H15">
        <v>0.50364466674952724</v>
      </c>
      <c r="I15">
        <v>856.32376372973397</v>
      </c>
      <c r="J15">
        <v>128.82182759155734</v>
      </c>
      <c r="K15">
        <v>1.911811758958129E-2</v>
      </c>
      <c r="L15">
        <v>174918.71712178297</v>
      </c>
      <c r="M15">
        <v>0.12237837266074655</v>
      </c>
      <c r="N15">
        <v>0.60926705612178278</v>
      </c>
      <c r="O15">
        <v>214.09505846836413</v>
      </c>
      <c r="P15">
        <v>1335.7393316167218</v>
      </c>
    </row>
    <row r="16" spans="1:16" x14ac:dyDescent="0.3">
      <c r="A16">
        <v>15</v>
      </c>
      <c r="B16">
        <v>1.189828922648337</v>
      </c>
      <c r="C16">
        <v>289.45455163709482</v>
      </c>
      <c r="D16">
        <v>34.419859616428127</v>
      </c>
      <c r="E16">
        <v>0.1361962383603624</v>
      </c>
      <c r="F16">
        <v>100000</v>
      </c>
      <c r="G16">
        <v>3.2453864996373891</v>
      </c>
      <c r="H16">
        <v>0.50301948429145638</v>
      </c>
      <c r="I16">
        <v>772.61660641449919</v>
      </c>
      <c r="J16">
        <v>411.56178074535433</v>
      </c>
      <c r="K16">
        <v>3.4990681829183398E-2</v>
      </c>
      <c r="L16">
        <v>172788.33553333563</v>
      </c>
      <c r="M16">
        <v>0.13800175778086837</v>
      </c>
      <c r="N16">
        <v>0.65536084157339003</v>
      </c>
      <c r="O16">
        <v>214.73922983279206</v>
      </c>
      <c r="P16">
        <v>1794.3802535401119</v>
      </c>
    </row>
    <row r="17" spans="1:16" x14ac:dyDescent="0.3">
      <c r="A17">
        <v>16</v>
      </c>
      <c r="B17">
        <v>1.1797900198056976</v>
      </c>
      <c r="C17">
        <v>290.67264167452203</v>
      </c>
      <c r="D17">
        <v>66.026138134958799</v>
      </c>
      <c r="E17">
        <v>0.1180464638117775</v>
      </c>
      <c r="F17">
        <v>100000</v>
      </c>
      <c r="G17">
        <v>1.2418117434650759</v>
      </c>
      <c r="H17">
        <v>0.47787253304630201</v>
      </c>
      <c r="I17">
        <v>796.06474478961582</v>
      </c>
      <c r="J17">
        <v>467.94523334836521</v>
      </c>
      <c r="K17">
        <v>1.6199251332970285E-2</v>
      </c>
      <c r="L17">
        <v>144799.10797847839</v>
      </c>
      <c r="M17">
        <v>0.12937872250377058</v>
      </c>
      <c r="N17">
        <v>0.52336254094954071</v>
      </c>
      <c r="O17">
        <v>226.32793943076197</v>
      </c>
      <c r="P17">
        <v>1702.9714892952979</v>
      </c>
    </row>
    <row r="18" spans="1:16" x14ac:dyDescent="0.3">
      <c r="A18">
        <v>17</v>
      </c>
      <c r="B18">
        <v>1.1844814367889824</v>
      </c>
      <c r="C18">
        <v>289.99342718337044</v>
      </c>
      <c r="D18">
        <v>57.144293069411361</v>
      </c>
      <c r="E18">
        <v>8.6295563133106309E-2</v>
      </c>
      <c r="F18">
        <v>100000</v>
      </c>
      <c r="G18">
        <v>4.2378197818462562</v>
      </c>
      <c r="H18">
        <v>0.47315260998239073</v>
      </c>
      <c r="I18">
        <v>766.46691433177523</v>
      </c>
      <c r="J18">
        <v>227.60699852590272</v>
      </c>
      <c r="K18">
        <v>2.1337609191090363E-2</v>
      </c>
      <c r="L18">
        <v>177474.71199794975</v>
      </c>
      <c r="M18">
        <v>0.1267271730044888</v>
      </c>
      <c r="N18">
        <v>0.58285015363379078</v>
      </c>
      <c r="O18">
        <v>222.55480535772159</v>
      </c>
      <c r="P18">
        <v>1610.1124068199933</v>
      </c>
    </row>
    <row r="19" spans="1:16" x14ac:dyDescent="0.3">
      <c r="A19">
        <v>18</v>
      </c>
      <c r="B19">
        <v>1.1740108036653045</v>
      </c>
      <c r="C19">
        <v>294.18421439601582</v>
      </c>
      <c r="D19">
        <v>12.472413966080417</v>
      </c>
      <c r="E19">
        <v>7.3532746256728482E-2</v>
      </c>
      <c r="F19">
        <v>100000</v>
      </c>
      <c r="G19">
        <v>4.3413156370180292</v>
      </c>
      <c r="H19">
        <v>0.47937211126068502</v>
      </c>
      <c r="I19">
        <v>856.89120321277517</v>
      </c>
      <c r="J19">
        <v>204.55512875290879</v>
      </c>
      <c r="K19">
        <v>3.9142450608180529E-2</v>
      </c>
      <c r="L19">
        <v>153067.13892342028</v>
      </c>
      <c r="M19">
        <v>8.6462074165304187E-2</v>
      </c>
      <c r="N19">
        <v>0.51732571224818946</v>
      </c>
      <c r="O19">
        <v>222.68074341819968</v>
      </c>
      <c r="P19">
        <v>840.43014171258983</v>
      </c>
    </row>
    <row r="20" spans="1:16" x14ac:dyDescent="0.3">
      <c r="A20">
        <v>19</v>
      </c>
      <c r="B20">
        <v>1.1774975665717502</v>
      </c>
      <c r="C20">
        <v>289.77045828002298</v>
      </c>
      <c r="D20">
        <v>54.995103183103538</v>
      </c>
      <c r="E20">
        <v>0.13275361359695659</v>
      </c>
      <c r="F20">
        <v>100000</v>
      </c>
      <c r="G20">
        <v>5.9604136976445146</v>
      </c>
      <c r="H20">
        <v>0.49048233117694279</v>
      </c>
      <c r="I20">
        <v>792.9980383952992</v>
      </c>
      <c r="J20">
        <v>221.92959695996637</v>
      </c>
      <c r="K20">
        <v>5.7019462483625022E-2</v>
      </c>
      <c r="L20">
        <v>150467.79922292745</v>
      </c>
      <c r="M20">
        <v>9.6555226567152264E-2</v>
      </c>
      <c r="N20">
        <v>0.42798539765641624</v>
      </c>
      <c r="O20">
        <v>204.19581862323108</v>
      </c>
      <c r="P20">
        <v>1412.2933062316661</v>
      </c>
    </row>
    <row r="21" spans="1:16" x14ac:dyDescent="0.3">
      <c r="A21">
        <v>20</v>
      </c>
      <c r="B21">
        <v>1.1880193984562519</v>
      </c>
      <c r="C21">
        <v>290.34443836343758</v>
      </c>
      <c r="D21">
        <v>20.79046632431924</v>
      </c>
      <c r="E21">
        <v>0.12050327512497727</v>
      </c>
      <c r="F21">
        <v>100000</v>
      </c>
      <c r="G21">
        <v>7.208984026833253</v>
      </c>
      <c r="H21">
        <v>0.49800045285576833</v>
      </c>
      <c r="I21">
        <v>774.14785444496806</v>
      </c>
      <c r="J21">
        <v>413.10382944474213</v>
      </c>
      <c r="K21">
        <v>6.6402143536600414E-2</v>
      </c>
      <c r="L21">
        <v>153176.60417975322</v>
      </c>
      <c r="M21">
        <v>0.13488863416600988</v>
      </c>
      <c r="N21">
        <v>0.51960387305215694</v>
      </c>
      <c r="O21">
        <v>233.21321473397438</v>
      </c>
      <c r="P21">
        <v>1862.3601495018738</v>
      </c>
    </row>
    <row r="22" spans="1:16" x14ac:dyDescent="0.3">
      <c r="A22">
        <v>21</v>
      </c>
      <c r="B22">
        <v>1.188208708218486</v>
      </c>
      <c r="C22">
        <v>291.78138601097066</v>
      </c>
      <c r="D22">
        <v>54.417062328338005</v>
      </c>
      <c r="E22">
        <v>0.11984691524485561</v>
      </c>
      <c r="F22">
        <v>100000</v>
      </c>
      <c r="G22">
        <v>4.5946741819401611</v>
      </c>
      <c r="H22">
        <v>0.49554605436762339</v>
      </c>
      <c r="I22">
        <v>808.0530573980119</v>
      </c>
      <c r="J22">
        <v>441.557111085016</v>
      </c>
      <c r="K22">
        <v>3.468970930591566E-2</v>
      </c>
      <c r="L22">
        <v>142985.29682538088</v>
      </c>
      <c r="M22">
        <v>0.13392630559334717</v>
      </c>
      <c r="N22">
        <v>0.58751493399264021</v>
      </c>
      <c r="O22">
        <v>237.16846774225661</v>
      </c>
      <c r="P22">
        <v>1695.9753761401444</v>
      </c>
    </row>
    <row r="23" spans="1:16" x14ac:dyDescent="0.3">
      <c r="A23">
        <v>22</v>
      </c>
      <c r="B23">
        <v>1.1823323324246318</v>
      </c>
      <c r="C23">
        <v>291.40003325127111</v>
      </c>
      <c r="D23">
        <v>28.174629100653142</v>
      </c>
      <c r="E23">
        <v>0.10756887787380046</v>
      </c>
      <c r="F23">
        <v>100000</v>
      </c>
      <c r="G23">
        <v>3.9469385163900896</v>
      </c>
      <c r="H23">
        <v>0.49099757408999006</v>
      </c>
      <c r="I23">
        <v>795.84163470431122</v>
      </c>
      <c r="J23">
        <v>297.6066609435901</v>
      </c>
      <c r="K23">
        <v>1.7798500623277026E-2</v>
      </c>
      <c r="L23">
        <v>175531.81586677657</v>
      </c>
      <c r="M23">
        <v>0.11772047107791392</v>
      </c>
      <c r="N23">
        <v>0.60724462791988643</v>
      </c>
      <c r="O23">
        <v>224.69077563153093</v>
      </c>
      <c r="P23">
        <v>1440.3615554309727</v>
      </c>
    </row>
    <row r="24" spans="1:16" x14ac:dyDescent="0.3">
      <c r="A24">
        <v>23</v>
      </c>
      <c r="B24">
        <v>1.1822897611420855</v>
      </c>
      <c r="C24">
        <v>289.83249163179261</v>
      </c>
      <c r="D24">
        <v>28.679571949615877</v>
      </c>
      <c r="E24">
        <v>0.10685932407846019</v>
      </c>
      <c r="F24">
        <v>100000</v>
      </c>
      <c r="G24">
        <v>2.5631325641126015</v>
      </c>
      <c r="H24">
        <v>0.49331338115661905</v>
      </c>
      <c r="I24">
        <v>786.57985918939323</v>
      </c>
      <c r="J24">
        <v>305.30341576824759</v>
      </c>
      <c r="K24">
        <v>4.5603446123309785E-2</v>
      </c>
      <c r="L24">
        <v>139161.97551716151</v>
      </c>
      <c r="M24">
        <v>8.7929690327198939E-2</v>
      </c>
      <c r="N24">
        <v>0.4292270426768568</v>
      </c>
      <c r="O24">
        <v>231.12381699613732</v>
      </c>
      <c r="P24">
        <v>1108.9441611295842</v>
      </c>
    </row>
    <row r="25" spans="1:16" x14ac:dyDescent="0.3">
      <c r="A25">
        <v>24</v>
      </c>
      <c r="B25">
        <v>1.1830835351799578</v>
      </c>
      <c r="C25">
        <v>291.56821234520027</v>
      </c>
      <c r="D25">
        <v>56.313637528584515</v>
      </c>
      <c r="E25">
        <v>0.11321065610777964</v>
      </c>
      <c r="F25">
        <v>100000</v>
      </c>
      <c r="G25">
        <v>1.7411734925087776</v>
      </c>
      <c r="H25">
        <v>0.4937142555490317</v>
      </c>
      <c r="I25">
        <v>834.61214311974391</v>
      </c>
      <c r="J25">
        <v>288.66739393297166</v>
      </c>
      <c r="K25">
        <v>3.9175692470987164E-2</v>
      </c>
      <c r="L25">
        <v>142346.05244436173</v>
      </c>
      <c r="M25">
        <v>9.6635551260441058E-2</v>
      </c>
      <c r="N25">
        <v>0.55216372928291801</v>
      </c>
      <c r="O25">
        <v>224.34619611979994</v>
      </c>
      <c r="P25">
        <v>1046.7616909229473</v>
      </c>
    </row>
    <row r="26" spans="1:16" x14ac:dyDescent="0.3">
      <c r="A26">
        <v>25</v>
      </c>
      <c r="B26">
        <v>1.1813187708777266</v>
      </c>
      <c r="C26">
        <v>290.3935977128769</v>
      </c>
      <c r="D26">
        <v>48.787629366078725</v>
      </c>
      <c r="E26">
        <v>0.12211406897130427</v>
      </c>
      <c r="F26">
        <v>100000</v>
      </c>
      <c r="G26">
        <v>3.2276929297856127</v>
      </c>
      <c r="H26">
        <v>0.48281453398100338</v>
      </c>
      <c r="I26">
        <v>795.63794702617076</v>
      </c>
      <c r="J26">
        <v>242.68109127698108</v>
      </c>
      <c r="K26">
        <v>6.4121776946413869E-2</v>
      </c>
      <c r="L26">
        <v>170727.21806787123</v>
      </c>
      <c r="M26">
        <v>8.7755100078030751E-2</v>
      </c>
      <c r="N26">
        <v>0.53496237359398913</v>
      </c>
      <c r="O26">
        <v>209.06600274927786</v>
      </c>
      <c r="P26">
        <v>1448.2778799246225</v>
      </c>
    </row>
    <row r="27" spans="1:16" x14ac:dyDescent="0.3">
      <c r="A27">
        <v>26</v>
      </c>
      <c r="B27">
        <v>1.1888806009168553</v>
      </c>
      <c r="C27">
        <v>292.65799515287966</v>
      </c>
      <c r="D27">
        <v>51.015765991956052</v>
      </c>
      <c r="E27">
        <v>9.0365935289773769E-2</v>
      </c>
      <c r="F27">
        <v>100000</v>
      </c>
      <c r="G27">
        <v>1.8542115022305889</v>
      </c>
      <c r="H27">
        <v>0.47872190432876027</v>
      </c>
      <c r="I27">
        <v>839.7660913450145</v>
      </c>
      <c r="J27">
        <v>392.05269684475559</v>
      </c>
      <c r="K27">
        <v>4.5864130174332017E-2</v>
      </c>
      <c r="L27">
        <v>142327.89682806074</v>
      </c>
      <c r="M27">
        <v>9.6646945300689804E-2</v>
      </c>
      <c r="N27">
        <v>0.513152884657472</v>
      </c>
      <c r="O27">
        <v>219.0269157357497</v>
      </c>
      <c r="P27">
        <v>1372.9792951396012</v>
      </c>
    </row>
    <row r="28" spans="1:16" x14ac:dyDescent="0.3">
      <c r="A28">
        <v>27</v>
      </c>
      <c r="B28">
        <v>1.1803743605463171</v>
      </c>
      <c r="C28">
        <v>292.50042783777911</v>
      </c>
      <c r="D28">
        <v>55.162399608891704</v>
      </c>
      <c r="E28">
        <v>0.12023453325991318</v>
      </c>
      <c r="F28">
        <v>100000</v>
      </c>
      <c r="G28">
        <v>6.9449023258555291</v>
      </c>
      <c r="H28">
        <v>0.4821484433640687</v>
      </c>
      <c r="I28">
        <v>834.22272064007916</v>
      </c>
      <c r="J28">
        <v>333.40811577693387</v>
      </c>
      <c r="K28">
        <v>3.2185383185525336E-2</v>
      </c>
      <c r="L28">
        <v>159645.23697853609</v>
      </c>
      <c r="M28">
        <v>0.1173736119540586</v>
      </c>
      <c r="N28">
        <v>0.46403063156334212</v>
      </c>
      <c r="O28">
        <v>225.42995189540224</v>
      </c>
      <c r="P28">
        <v>1693.325836016149</v>
      </c>
    </row>
    <row r="29" spans="1:16" x14ac:dyDescent="0.3">
      <c r="A29">
        <v>28</v>
      </c>
      <c r="B29">
        <v>1.1874248217972829</v>
      </c>
      <c r="C29">
        <v>292.3153354787367</v>
      </c>
      <c r="D29">
        <v>39.127939244574542</v>
      </c>
      <c r="E29">
        <v>9.9379025457694489E-2</v>
      </c>
      <c r="F29">
        <v>100000</v>
      </c>
      <c r="G29">
        <v>5.1355995610793821</v>
      </c>
      <c r="H29">
        <v>0.48768300505385026</v>
      </c>
      <c r="I29">
        <v>780.15998387298544</v>
      </c>
      <c r="J29">
        <v>312.83128628366512</v>
      </c>
      <c r="K29">
        <v>1.8054631499051246E-2</v>
      </c>
      <c r="L29">
        <v>155399.11255698398</v>
      </c>
      <c r="M29">
        <v>0.12174575194575145</v>
      </c>
      <c r="N29">
        <v>0.59021670383432701</v>
      </c>
      <c r="O29">
        <v>229.93075483204041</v>
      </c>
      <c r="P29">
        <v>1387.5620612159182</v>
      </c>
    </row>
    <row r="30" spans="1:16" x14ac:dyDescent="0.3">
      <c r="A30">
        <v>29</v>
      </c>
      <c r="B30">
        <v>1.1822596563843559</v>
      </c>
      <c r="C30">
        <v>290.52976855858702</v>
      </c>
      <c r="D30">
        <v>50.901984208771253</v>
      </c>
      <c r="E30">
        <v>8.2247720754658818E-2</v>
      </c>
      <c r="F30">
        <v>100000</v>
      </c>
      <c r="G30">
        <v>3.4894544781100754</v>
      </c>
      <c r="H30">
        <v>0.48220518849797239</v>
      </c>
      <c r="I30">
        <v>796.27126818892498</v>
      </c>
      <c r="J30">
        <v>289.88215537812476</v>
      </c>
      <c r="K30">
        <v>5.4393787298488552E-2</v>
      </c>
      <c r="L30">
        <v>144739.52261839234</v>
      </c>
      <c r="M30">
        <v>0.10046345821613198</v>
      </c>
      <c r="N30">
        <v>0.57012080017709965</v>
      </c>
      <c r="O30">
        <v>236.06702878149272</v>
      </c>
      <c r="P30">
        <v>1183.7820914878321</v>
      </c>
    </row>
    <row r="31" spans="1:16" x14ac:dyDescent="0.3">
      <c r="A31">
        <v>30</v>
      </c>
      <c r="B31">
        <v>1.1816712139682854</v>
      </c>
      <c r="C31">
        <v>291.20596849980427</v>
      </c>
      <c r="D31">
        <v>39.824842562255391</v>
      </c>
      <c r="E31">
        <v>0.11493359087726635</v>
      </c>
      <c r="F31">
        <v>100000</v>
      </c>
      <c r="G31">
        <v>4.5690088892961001</v>
      </c>
      <c r="H31">
        <v>0.48896651923643142</v>
      </c>
      <c r="I31">
        <v>805.33089656869765</v>
      </c>
      <c r="J31">
        <v>387.51678630079618</v>
      </c>
      <c r="K31">
        <v>3.1812024219931706E-2</v>
      </c>
      <c r="L31">
        <v>165791.71682959312</v>
      </c>
      <c r="M31">
        <v>0.11859838249777759</v>
      </c>
      <c r="N31">
        <v>0.55609199480772942</v>
      </c>
      <c r="O31">
        <v>215.25731955449476</v>
      </c>
      <c r="P31">
        <v>1746.2302158651219</v>
      </c>
    </row>
    <row r="32" spans="1:16" x14ac:dyDescent="0.3">
      <c r="A32">
        <v>31</v>
      </c>
      <c r="B32">
        <v>1.1837039216684568</v>
      </c>
      <c r="C32">
        <v>291.69998509905719</v>
      </c>
      <c r="D32">
        <v>53.273929829312962</v>
      </c>
      <c r="E32">
        <v>0.10302386411025102</v>
      </c>
      <c r="F32">
        <v>100000</v>
      </c>
      <c r="G32">
        <v>3.4340819164508769</v>
      </c>
      <c r="H32">
        <v>0.48444634860704505</v>
      </c>
      <c r="I32">
        <v>809.03865469197819</v>
      </c>
      <c r="J32">
        <v>345.1192939569591</v>
      </c>
      <c r="K32">
        <v>5.6396984582219103E-2</v>
      </c>
      <c r="L32">
        <v>161047.33416335963</v>
      </c>
      <c r="M32">
        <v>8.8712430225637628E-2</v>
      </c>
      <c r="N32">
        <v>0.5489035613038018</v>
      </c>
      <c r="O32">
        <v>215.61975848473568</v>
      </c>
      <c r="P32">
        <v>1572.7842803352323</v>
      </c>
    </row>
    <row r="33" spans="1:16" x14ac:dyDescent="0.3">
      <c r="A33">
        <v>32</v>
      </c>
      <c r="B33">
        <v>1.1853315150934594</v>
      </c>
      <c r="C33">
        <v>289.99502985822949</v>
      </c>
      <c r="D33">
        <v>44.465727527888681</v>
      </c>
      <c r="E33">
        <v>9.9622962051842207E-2</v>
      </c>
      <c r="F33">
        <v>100000</v>
      </c>
      <c r="G33">
        <v>1.7799607829595907</v>
      </c>
      <c r="H33">
        <v>0.49160732001541896</v>
      </c>
      <c r="I33">
        <v>798.58424618542153</v>
      </c>
      <c r="J33">
        <v>242.82809815595334</v>
      </c>
      <c r="K33">
        <v>6.3456481022113986E-2</v>
      </c>
      <c r="L33">
        <v>148206.98810488076</v>
      </c>
      <c r="M33">
        <v>9.7332170647366031E-2</v>
      </c>
      <c r="N33">
        <v>0.55237192162139881</v>
      </c>
      <c r="O33">
        <v>216.90821388502732</v>
      </c>
      <c r="P33">
        <v>1063.1665795085064</v>
      </c>
    </row>
    <row r="34" spans="1:16" x14ac:dyDescent="0.3">
      <c r="A34">
        <v>33</v>
      </c>
      <c r="B34">
        <v>1.1887983043743142</v>
      </c>
      <c r="C34">
        <v>290.12955374757934</v>
      </c>
      <c r="D34">
        <v>25.649635396762296</v>
      </c>
      <c r="E34">
        <v>0.1016281684802893</v>
      </c>
      <c r="F34">
        <v>100000</v>
      </c>
      <c r="G34">
        <v>1.7891079473984557</v>
      </c>
      <c r="H34">
        <v>0.49081209082990179</v>
      </c>
      <c r="I34">
        <v>797.77529671226398</v>
      </c>
      <c r="J34">
        <v>390.1339377257483</v>
      </c>
      <c r="K34">
        <v>3.3892030790395766E-2</v>
      </c>
      <c r="L34">
        <v>159224.16454496089</v>
      </c>
      <c r="M34">
        <v>9.2618886853517338E-2</v>
      </c>
      <c r="N34">
        <v>0.55633593962389183</v>
      </c>
      <c r="O34">
        <v>229.51410393958662</v>
      </c>
      <c r="P34">
        <v>1498.4706974974179</v>
      </c>
    </row>
    <row r="35" spans="1:16" x14ac:dyDescent="0.3">
      <c r="A35">
        <v>34</v>
      </c>
      <c r="B35">
        <v>1.1825137553524987</v>
      </c>
      <c r="C35">
        <v>292.21826781003557</v>
      </c>
      <c r="D35">
        <v>50.025210569530529</v>
      </c>
      <c r="E35">
        <v>9.4952608714876499E-2</v>
      </c>
      <c r="F35">
        <v>100000</v>
      </c>
      <c r="G35">
        <v>2.6286645166677052</v>
      </c>
      <c r="H35">
        <v>0.48339653645444342</v>
      </c>
      <c r="I35">
        <v>797.02640395711626</v>
      </c>
      <c r="J35">
        <v>368.518546764532</v>
      </c>
      <c r="K35">
        <v>5.7215031318635604E-2</v>
      </c>
      <c r="L35">
        <v>169963.81155743758</v>
      </c>
      <c r="M35">
        <v>9.9261158314756792E-2</v>
      </c>
      <c r="N35">
        <v>0.50131274744453003</v>
      </c>
      <c r="O35">
        <v>233.09271268824932</v>
      </c>
      <c r="P35">
        <v>1553.9610215500506</v>
      </c>
    </row>
    <row r="36" spans="1:16" x14ac:dyDescent="0.3">
      <c r="A36">
        <v>35</v>
      </c>
      <c r="B36">
        <v>1.1826837629542521</v>
      </c>
      <c r="C36">
        <v>291.78942040019996</v>
      </c>
      <c r="D36">
        <v>47.567088503219267</v>
      </c>
      <c r="E36">
        <v>9.0769074331067914E-2</v>
      </c>
      <c r="F36">
        <v>100000</v>
      </c>
      <c r="G36">
        <v>5.5760891482125086</v>
      </c>
      <c r="H36">
        <v>0.49129626298532675</v>
      </c>
      <c r="I36">
        <v>786.96717642514761</v>
      </c>
      <c r="J36">
        <v>248.01638633029575</v>
      </c>
      <c r="K36">
        <v>4.2739846348682602E-2</v>
      </c>
      <c r="L36">
        <v>150800.56657912294</v>
      </c>
      <c r="M36">
        <v>0.11543141489675825</v>
      </c>
      <c r="N36">
        <v>0.55589906377864096</v>
      </c>
      <c r="O36">
        <v>235.93033024104633</v>
      </c>
      <c r="P36">
        <v>1201.5651261323874</v>
      </c>
    </row>
    <row r="37" spans="1:16" x14ac:dyDescent="0.3">
      <c r="A37">
        <v>36</v>
      </c>
      <c r="B37">
        <v>1.1827818601618114</v>
      </c>
      <c r="C37">
        <v>291.96167966268757</v>
      </c>
      <c r="D37">
        <v>29.120998034668499</v>
      </c>
      <c r="E37">
        <v>0.10645428566384479</v>
      </c>
      <c r="F37">
        <v>100000</v>
      </c>
      <c r="G37">
        <v>5.6993814236317304</v>
      </c>
      <c r="H37">
        <v>0.48810121806552476</v>
      </c>
      <c r="I37">
        <v>796.22323955268109</v>
      </c>
      <c r="J37">
        <v>363.91367550387372</v>
      </c>
      <c r="K37">
        <v>5.1512350678393097E-2</v>
      </c>
      <c r="L37">
        <v>170617.57658095221</v>
      </c>
      <c r="M37">
        <v>0.11205970607638573</v>
      </c>
      <c r="N37">
        <v>0.52990502593819744</v>
      </c>
      <c r="O37">
        <v>222.30840142336879</v>
      </c>
      <c r="P37">
        <v>1636.6928523033785</v>
      </c>
    </row>
    <row r="38" spans="1:16" x14ac:dyDescent="0.3">
      <c r="A38">
        <v>37</v>
      </c>
      <c r="B38">
        <v>1.1829230642964457</v>
      </c>
      <c r="C38">
        <v>290.67690898495812</v>
      </c>
      <c r="D38">
        <v>47.300643165102272</v>
      </c>
      <c r="E38">
        <v>0.1022549605344994</v>
      </c>
      <c r="F38">
        <v>100000</v>
      </c>
      <c r="G38">
        <v>4.7280701981334019</v>
      </c>
      <c r="H38">
        <v>0.47968033793476728</v>
      </c>
      <c r="I38">
        <v>793.09901016327331</v>
      </c>
      <c r="J38">
        <v>340.61153615474478</v>
      </c>
      <c r="K38">
        <v>3.9058325867399539E-2</v>
      </c>
      <c r="L38">
        <v>164696.46918308284</v>
      </c>
      <c r="M38">
        <v>0.1067269447963356</v>
      </c>
      <c r="N38">
        <v>0.512419089634786</v>
      </c>
      <c r="O38">
        <v>226.45528055756748</v>
      </c>
      <c r="P38">
        <v>1654.4016894780143</v>
      </c>
    </row>
    <row r="39" spans="1:16" x14ac:dyDescent="0.3">
      <c r="A39">
        <v>38</v>
      </c>
      <c r="B39">
        <v>1.1872927311071801</v>
      </c>
      <c r="C39">
        <v>290.84719285901906</v>
      </c>
      <c r="D39">
        <v>42.935003297203664</v>
      </c>
      <c r="E39">
        <v>9.4241178971364567E-2</v>
      </c>
      <c r="F39">
        <v>100000</v>
      </c>
      <c r="G39">
        <v>5.4436735700576486</v>
      </c>
      <c r="H39">
        <v>0.48674696353323677</v>
      </c>
      <c r="I39">
        <v>806.2707214966116</v>
      </c>
      <c r="J39">
        <v>385.97221270388957</v>
      </c>
      <c r="K39">
        <v>4.9608329594061605E-2</v>
      </c>
      <c r="L39">
        <v>154545.5120654646</v>
      </c>
      <c r="M39">
        <v>9.7580004574298246E-2</v>
      </c>
      <c r="N39">
        <v>0.53677039714905472</v>
      </c>
      <c r="O39">
        <v>231.20428264317587</v>
      </c>
      <c r="P39">
        <v>1729.9907068291723</v>
      </c>
    </row>
    <row r="40" spans="1:16" x14ac:dyDescent="0.3">
      <c r="A40">
        <v>39</v>
      </c>
      <c r="B40">
        <v>1.185111782490432</v>
      </c>
      <c r="C40">
        <v>291.82701522341154</v>
      </c>
      <c r="D40">
        <v>31.623066738730586</v>
      </c>
      <c r="E40">
        <v>9.5847172887876822E-2</v>
      </c>
      <c r="F40">
        <v>100000</v>
      </c>
      <c r="G40">
        <v>2.6375471810802842</v>
      </c>
      <c r="H40">
        <v>0.47960261039357049</v>
      </c>
      <c r="I40">
        <v>802.7191915937351</v>
      </c>
      <c r="J40">
        <v>300.99876491682954</v>
      </c>
      <c r="K40">
        <v>4.1586963608203555E-2</v>
      </c>
      <c r="L40">
        <v>158648.17618875444</v>
      </c>
      <c r="M40">
        <v>0.10941923984294738</v>
      </c>
      <c r="N40">
        <v>0.53351175656686378</v>
      </c>
      <c r="O40">
        <v>225.83714162877354</v>
      </c>
      <c r="P40">
        <v>1232.5516146122754</v>
      </c>
    </row>
    <row r="41" spans="1:16" x14ac:dyDescent="0.3">
      <c r="A41">
        <v>40</v>
      </c>
      <c r="B41">
        <v>1.1830353128235591</v>
      </c>
      <c r="C41">
        <v>290.59067002198708</v>
      </c>
      <c r="D41">
        <v>37.902030309110586</v>
      </c>
      <c r="E41">
        <v>9.9477505209657646E-2</v>
      </c>
      <c r="F41">
        <v>100000</v>
      </c>
      <c r="G41">
        <v>2.9933045781587033</v>
      </c>
      <c r="H41">
        <v>0.484165682867785</v>
      </c>
      <c r="I41">
        <v>808.86121297364832</v>
      </c>
      <c r="J41">
        <v>248.39505898059159</v>
      </c>
      <c r="K41">
        <v>4.7748547687613489E-2</v>
      </c>
      <c r="L41">
        <v>154870.84920712697</v>
      </c>
      <c r="M41">
        <v>0.11340736758429143</v>
      </c>
      <c r="N41">
        <v>0.51855574788572611</v>
      </c>
      <c r="O41">
        <v>228.06926272819462</v>
      </c>
      <c r="P41">
        <v>1151.4305541862777</v>
      </c>
    </row>
    <row r="42" spans="1:16" x14ac:dyDescent="0.3">
      <c r="A42">
        <v>41</v>
      </c>
      <c r="B42">
        <v>1.1869766889967901</v>
      </c>
      <c r="C42">
        <v>290.0235473706191</v>
      </c>
      <c r="D42">
        <v>29.417434009077549</v>
      </c>
      <c r="E42">
        <v>0.10158789381132523</v>
      </c>
      <c r="F42">
        <v>100000</v>
      </c>
      <c r="G42">
        <v>5.5806560039015238</v>
      </c>
      <c r="H42">
        <v>0.48985361599906913</v>
      </c>
      <c r="I42">
        <v>788.70948875204601</v>
      </c>
      <c r="J42">
        <v>292.91826988348481</v>
      </c>
      <c r="K42">
        <v>6.1265248387094809E-2</v>
      </c>
      <c r="L42">
        <v>149034.77522756814</v>
      </c>
      <c r="M42">
        <v>0.10539737366312664</v>
      </c>
      <c r="N42">
        <v>0.52710752612830247</v>
      </c>
      <c r="O42">
        <v>226.46841226066672</v>
      </c>
      <c r="P42">
        <v>1414.8742327828004</v>
      </c>
    </row>
    <row r="43" spans="1:16" x14ac:dyDescent="0.3">
      <c r="A43">
        <v>42</v>
      </c>
      <c r="B43">
        <v>1.1830898236718601</v>
      </c>
      <c r="C43">
        <v>291.78690733155673</v>
      </c>
      <c r="D43">
        <v>35.177283754190171</v>
      </c>
      <c r="E43">
        <v>0.10185471843018126</v>
      </c>
      <c r="F43">
        <v>100000</v>
      </c>
      <c r="G43">
        <v>5.4397081032452261</v>
      </c>
      <c r="H43">
        <v>0.48205674462971831</v>
      </c>
      <c r="I43">
        <v>798.01577811377695</v>
      </c>
      <c r="J43">
        <v>310.73886445858875</v>
      </c>
      <c r="K43">
        <v>4.6692273858176009E-2</v>
      </c>
      <c r="L43">
        <v>157269.67646735269</v>
      </c>
      <c r="M43">
        <v>9.9240177794513995E-2</v>
      </c>
      <c r="N43">
        <v>0.52454075850800741</v>
      </c>
      <c r="O43">
        <v>230.82939628775731</v>
      </c>
      <c r="P43">
        <v>1431.0796292925297</v>
      </c>
    </row>
    <row r="44" spans="1:16" x14ac:dyDescent="0.3">
      <c r="A44">
        <v>43</v>
      </c>
      <c r="B44">
        <v>1.1841388125730323</v>
      </c>
      <c r="C44">
        <v>290.50070897780597</v>
      </c>
      <c r="D44">
        <v>45.83272025435501</v>
      </c>
      <c r="E44">
        <v>0.10000582576110047</v>
      </c>
      <c r="F44">
        <v>100000</v>
      </c>
      <c r="G44">
        <v>5.3077791277816821</v>
      </c>
      <c r="H44">
        <v>0.4854435073470203</v>
      </c>
      <c r="I44">
        <v>800.54172870123955</v>
      </c>
      <c r="J44">
        <v>343.18694026096568</v>
      </c>
      <c r="K44">
        <v>4.3486920636574708E-2</v>
      </c>
      <c r="L44">
        <v>154732.35242059655</v>
      </c>
      <c r="M44">
        <v>9.8181893369608503E-2</v>
      </c>
      <c r="N44">
        <v>0.50538960846967229</v>
      </c>
      <c r="O44">
        <v>233.9462871688394</v>
      </c>
      <c r="P44">
        <v>1605.269539738707</v>
      </c>
    </row>
    <row r="45" spans="1:16" x14ac:dyDescent="0.3">
      <c r="A45">
        <v>44</v>
      </c>
      <c r="B45">
        <v>1.1826803690941177</v>
      </c>
      <c r="C45">
        <v>291.91720223137287</v>
      </c>
      <c r="D45">
        <v>31.246225583163749</v>
      </c>
      <c r="E45">
        <v>9.4007363637526292E-2</v>
      </c>
      <c r="F45">
        <v>100000</v>
      </c>
      <c r="G45">
        <v>2.8785597318165737</v>
      </c>
      <c r="H45">
        <v>0.47999661784055148</v>
      </c>
      <c r="I45">
        <v>793.10011292898935</v>
      </c>
      <c r="J45">
        <v>358.44529659058776</v>
      </c>
      <c r="K45">
        <v>3.9031360535332217E-2</v>
      </c>
      <c r="L45">
        <v>167966.18928001463</v>
      </c>
      <c r="M45">
        <v>0.10425924328557352</v>
      </c>
      <c r="N45">
        <v>0.53180790695988112</v>
      </c>
      <c r="O45">
        <v>225.87612576418184</v>
      </c>
      <c r="P45">
        <v>1450.1793578652942</v>
      </c>
    </row>
    <row r="46" spans="1:16" x14ac:dyDescent="0.3">
      <c r="A46">
        <v>45</v>
      </c>
      <c r="B46">
        <v>1.1857534489337771</v>
      </c>
      <c r="C46">
        <v>290.0841635523131</v>
      </c>
      <c r="D46">
        <v>32.088283011919749</v>
      </c>
      <c r="E46">
        <v>9.9028248046046652E-2</v>
      </c>
      <c r="F46">
        <v>100000</v>
      </c>
      <c r="G46">
        <v>3.5476475060874328</v>
      </c>
      <c r="H46">
        <v>0.48725903838281992</v>
      </c>
      <c r="I46">
        <v>788.8163854808937</v>
      </c>
      <c r="J46">
        <v>372.91590789227405</v>
      </c>
      <c r="K46">
        <v>4.3668050256914559E-2</v>
      </c>
      <c r="L46">
        <v>164921.1089575915</v>
      </c>
      <c r="M46">
        <v>0.10925503144567542</v>
      </c>
      <c r="N46">
        <v>0.51282510120447389</v>
      </c>
      <c r="O46">
        <v>225.9178491556728</v>
      </c>
      <c r="P46">
        <v>1621.6673645483606</v>
      </c>
    </row>
    <row r="47" spans="1:16" x14ac:dyDescent="0.3">
      <c r="A47">
        <v>46</v>
      </c>
      <c r="B47">
        <v>1.1842351937687596</v>
      </c>
      <c r="C47">
        <v>290.20417724977733</v>
      </c>
      <c r="D47">
        <v>41.138876345579718</v>
      </c>
      <c r="E47">
        <v>9.4094464303609363E-2</v>
      </c>
      <c r="F47">
        <v>100000</v>
      </c>
      <c r="G47">
        <v>4.7817726025707969</v>
      </c>
      <c r="H47">
        <v>0.48514582706319043</v>
      </c>
      <c r="I47">
        <v>807.95803692782329</v>
      </c>
      <c r="J47">
        <v>363.38852224455445</v>
      </c>
      <c r="K47">
        <v>4.7505795508652415E-2</v>
      </c>
      <c r="L47">
        <v>168527.28713077406</v>
      </c>
      <c r="M47">
        <v>0.10635992502547245</v>
      </c>
      <c r="N47">
        <v>0.52429896246273899</v>
      </c>
      <c r="O47">
        <v>227.24830973446223</v>
      </c>
      <c r="P47">
        <v>1736.6673217146235</v>
      </c>
    </row>
    <row r="48" spans="1:16" x14ac:dyDescent="0.3">
      <c r="A48">
        <v>47</v>
      </c>
      <c r="B48">
        <v>1.1841763029494066</v>
      </c>
      <c r="C48">
        <v>290.27844074056986</v>
      </c>
      <c r="D48">
        <v>41.314779339696628</v>
      </c>
      <c r="E48">
        <v>9.905447222527336E-2</v>
      </c>
      <c r="F48">
        <v>100000</v>
      </c>
      <c r="G48">
        <v>3.0407667096714475</v>
      </c>
      <c r="H48">
        <v>0.48929114374752702</v>
      </c>
      <c r="I48">
        <v>794.38829889069518</v>
      </c>
      <c r="J48">
        <v>332.05755393872619</v>
      </c>
      <c r="K48">
        <v>5.4421175754162734E-2</v>
      </c>
      <c r="L48">
        <v>155536.47067642637</v>
      </c>
      <c r="M48">
        <v>0.10460653010577602</v>
      </c>
      <c r="N48">
        <v>0.52574594605488389</v>
      </c>
      <c r="O48">
        <v>229.55107298883505</v>
      </c>
      <c r="P48">
        <v>1436.5738962757678</v>
      </c>
    </row>
    <row r="49" spans="1:16" x14ac:dyDescent="0.3">
      <c r="A49">
        <v>48</v>
      </c>
      <c r="B49">
        <v>1.1839969905188263</v>
      </c>
      <c r="C49">
        <v>290.51168852511518</v>
      </c>
      <c r="D49">
        <v>42.243811742341734</v>
      </c>
      <c r="E49">
        <v>9.9784281463172628E-2</v>
      </c>
      <c r="F49">
        <v>100000</v>
      </c>
      <c r="G49">
        <v>4.7302119070458266</v>
      </c>
      <c r="H49">
        <v>0.48004133298338225</v>
      </c>
      <c r="I49">
        <v>808.26752888793817</v>
      </c>
      <c r="J49">
        <v>297.06176666576494</v>
      </c>
      <c r="K49">
        <v>5.8663488346134232E-2</v>
      </c>
      <c r="L49">
        <v>163279.43423280615</v>
      </c>
      <c r="M49">
        <v>0.1057832013123914</v>
      </c>
      <c r="N49">
        <v>0.51037245595634262</v>
      </c>
      <c r="O49">
        <v>229.68377611746106</v>
      </c>
      <c r="P49">
        <v>1502.1489992306379</v>
      </c>
    </row>
    <row r="50" spans="1:16" x14ac:dyDescent="0.3">
      <c r="A50">
        <v>49</v>
      </c>
      <c r="B50">
        <v>1.1855770553826048</v>
      </c>
      <c r="C50">
        <v>291.54936185486235</v>
      </c>
      <c r="D50">
        <v>41.949279267618216</v>
      </c>
      <c r="E50">
        <v>9.6116186056914618E-2</v>
      </c>
      <c r="F50">
        <v>100000</v>
      </c>
      <c r="G50">
        <v>4.8019210769434544</v>
      </c>
      <c r="H50">
        <v>0.4800961263809102</v>
      </c>
      <c r="I50">
        <v>792.97022591369944</v>
      </c>
      <c r="J50">
        <v>372.70768926802134</v>
      </c>
      <c r="K50">
        <v>4.1523001390772779E-2</v>
      </c>
      <c r="L50">
        <v>155179.18124556763</v>
      </c>
      <c r="M50">
        <v>0.10727329099900246</v>
      </c>
      <c r="N50">
        <v>0.52174924519898602</v>
      </c>
      <c r="O50">
        <v>231.36094110772473</v>
      </c>
      <c r="P50">
        <v>1603.5885452179282</v>
      </c>
    </row>
    <row r="51" spans="1:16" x14ac:dyDescent="0.3">
      <c r="A51">
        <v>50</v>
      </c>
      <c r="B51">
        <v>1.1867391010655428</v>
      </c>
      <c r="C51">
        <v>290.84770778093809</v>
      </c>
      <c r="D51">
        <v>41.100420900968516</v>
      </c>
      <c r="E51">
        <v>9.4412061947689196E-2</v>
      </c>
      <c r="F51">
        <v>100000</v>
      </c>
      <c r="G51">
        <v>4.3761999261814015</v>
      </c>
      <c r="H51">
        <v>0.48330496089380109</v>
      </c>
      <c r="I51">
        <v>800.99975514096184</v>
      </c>
      <c r="J51">
        <v>302.96139216104365</v>
      </c>
      <c r="K51">
        <v>4.6709532983626768E-2</v>
      </c>
      <c r="L51">
        <v>166766.13801479319</v>
      </c>
      <c r="M51">
        <v>0.10440863122572769</v>
      </c>
      <c r="N51">
        <v>0.53049308843471332</v>
      </c>
      <c r="O51">
        <v>229.40494189152528</v>
      </c>
      <c r="P51">
        <v>1497.7934504625664</v>
      </c>
    </row>
    <row r="52" spans="1:16" x14ac:dyDescent="0.3">
      <c r="A52">
        <v>51</v>
      </c>
      <c r="B52">
        <v>1.1870464103747846</v>
      </c>
      <c r="C52">
        <v>290.22357688612101</v>
      </c>
      <c r="D52">
        <v>32.695466049090491</v>
      </c>
      <c r="E52">
        <v>9.9008751392579392E-2</v>
      </c>
      <c r="F52">
        <v>100000</v>
      </c>
      <c r="G52">
        <v>3.7002969622742872</v>
      </c>
      <c r="H52">
        <v>0.4887805145052076</v>
      </c>
      <c r="I52">
        <v>805.05636380969213</v>
      </c>
      <c r="J52">
        <v>329.80270735841611</v>
      </c>
      <c r="K52">
        <v>4.801509355449967E-2</v>
      </c>
      <c r="L52">
        <v>155514.42473651766</v>
      </c>
      <c r="M52">
        <v>0.1058522475296771</v>
      </c>
      <c r="N52">
        <v>0.51242302114556815</v>
      </c>
      <c r="O52">
        <v>227.01566385598016</v>
      </c>
      <c r="P52">
        <v>1456.8084740338891</v>
      </c>
    </row>
    <row r="53" spans="1:16" x14ac:dyDescent="0.3">
      <c r="A53">
        <v>52</v>
      </c>
      <c r="B53">
        <v>1.1856199881393736</v>
      </c>
      <c r="C53">
        <v>290.47484811468985</v>
      </c>
      <c r="D53">
        <v>39.232710484223418</v>
      </c>
      <c r="E53">
        <v>9.5577383531499416E-2</v>
      </c>
      <c r="F53">
        <v>100000</v>
      </c>
      <c r="G53">
        <v>3.2327850229315636</v>
      </c>
      <c r="H53">
        <v>0.48726221587190049</v>
      </c>
      <c r="I53">
        <v>798.3167268978118</v>
      </c>
      <c r="J53">
        <v>301.54399409122584</v>
      </c>
      <c r="K53">
        <v>4.7956804446013725E-2</v>
      </c>
      <c r="L53">
        <v>158596.12041252706</v>
      </c>
      <c r="M53">
        <v>0.10384985339309792</v>
      </c>
      <c r="N53">
        <v>0.52854805954770712</v>
      </c>
      <c r="O53">
        <v>226.95338602090402</v>
      </c>
      <c r="P53">
        <v>1373.8940815548922</v>
      </c>
    </row>
    <row r="54" spans="1:16" x14ac:dyDescent="0.3">
      <c r="A54">
        <v>53</v>
      </c>
      <c r="B54">
        <v>1.1838293033943352</v>
      </c>
      <c r="C54">
        <v>290.80770057379868</v>
      </c>
      <c r="D54">
        <v>38.005181950046698</v>
      </c>
      <c r="E54">
        <v>9.3194112630156326E-2</v>
      </c>
      <c r="F54">
        <v>100000</v>
      </c>
      <c r="G54">
        <v>3.732504022608683</v>
      </c>
      <c r="H54">
        <v>0.48817203094400974</v>
      </c>
      <c r="I54">
        <v>790.95284102035862</v>
      </c>
      <c r="J54">
        <v>302.95694932011833</v>
      </c>
      <c r="K54">
        <v>4.3462863644308292E-2</v>
      </c>
      <c r="L54">
        <v>166231.29488071662</v>
      </c>
      <c r="M54">
        <v>0.10448890625593517</v>
      </c>
      <c r="N54">
        <v>0.52475128863284837</v>
      </c>
      <c r="O54">
        <v>230.18030349894772</v>
      </c>
      <c r="P54">
        <v>1431.663008728814</v>
      </c>
    </row>
    <row r="55" spans="1:16" x14ac:dyDescent="0.3">
      <c r="A55">
        <v>54</v>
      </c>
      <c r="B55">
        <v>1.1847706599581183</v>
      </c>
      <c r="C55">
        <v>291.30020378406692</v>
      </c>
      <c r="D55">
        <v>40.566697071274987</v>
      </c>
      <c r="E55">
        <v>9.2664736197040173E-2</v>
      </c>
      <c r="F55">
        <v>100000</v>
      </c>
      <c r="G55">
        <v>4.674194748345684</v>
      </c>
      <c r="H55">
        <v>0.48061953636868793</v>
      </c>
      <c r="I55">
        <v>802.05496963422922</v>
      </c>
      <c r="J55">
        <v>364.32274868783804</v>
      </c>
      <c r="K55">
        <v>5.6689317314813123E-2</v>
      </c>
      <c r="L55">
        <v>156359.34260340268</v>
      </c>
      <c r="M55">
        <v>0.10681913188817137</v>
      </c>
      <c r="N55">
        <v>0.5261682485586392</v>
      </c>
      <c r="O55">
        <v>228.19439659883705</v>
      </c>
      <c r="P55">
        <v>1599.2979587343798</v>
      </c>
    </row>
    <row r="56" spans="1:16" x14ac:dyDescent="0.3">
      <c r="A56">
        <v>55</v>
      </c>
      <c r="B56">
        <v>1.1853984275808076</v>
      </c>
      <c r="C56">
        <v>290.45754940099738</v>
      </c>
      <c r="D56">
        <v>38.817505183373882</v>
      </c>
      <c r="E56">
        <v>9.4416664198918129E-2</v>
      </c>
      <c r="F56">
        <v>100000</v>
      </c>
      <c r="G56">
        <v>3.8126402534353154</v>
      </c>
      <c r="H56">
        <v>0.48800216864497897</v>
      </c>
      <c r="I56">
        <v>804.49891601461957</v>
      </c>
      <c r="J56">
        <v>352.69148332838307</v>
      </c>
      <c r="K56">
        <v>4.2605008938684588E-2</v>
      </c>
      <c r="L56">
        <v>165006.68650057647</v>
      </c>
      <c r="M56">
        <v>0.10720501243139417</v>
      </c>
      <c r="N56">
        <v>0.52487032639588282</v>
      </c>
      <c r="O56">
        <v>227.08332013695053</v>
      </c>
      <c r="P56">
        <v>1601.033326597586</v>
      </c>
    </row>
    <row r="57" spans="1:16" x14ac:dyDescent="0.3">
      <c r="A57">
        <v>56</v>
      </c>
      <c r="B57">
        <v>1.1866542628338048</v>
      </c>
      <c r="C57">
        <v>290.33775505714618</v>
      </c>
      <c r="D57">
        <v>38.043976523282566</v>
      </c>
      <c r="E57">
        <v>9.7659172666860111E-2</v>
      </c>
      <c r="F57">
        <v>100000</v>
      </c>
      <c r="G57">
        <v>3.7984958482894959</v>
      </c>
      <c r="H57">
        <v>0.48822791632994694</v>
      </c>
      <c r="I57">
        <v>791.1349538273314</v>
      </c>
      <c r="J57">
        <v>364.0652135848058</v>
      </c>
      <c r="K57">
        <v>5.429159305338857E-2</v>
      </c>
      <c r="L57">
        <v>166009.62551581167</v>
      </c>
      <c r="M57">
        <v>0.10685320225891637</v>
      </c>
      <c r="N57">
        <v>0.51587754696031984</v>
      </c>
      <c r="O57">
        <v>229.18000872741098</v>
      </c>
      <c r="P57">
        <v>1626.5472300109031</v>
      </c>
    </row>
    <row r="58" spans="1:16" x14ac:dyDescent="0.3">
      <c r="A58">
        <v>57</v>
      </c>
      <c r="B58">
        <v>1.1845989943015098</v>
      </c>
      <c r="C58">
        <v>290.65853833693836</v>
      </c>
      <c r="D58">
        <v>37.115261626297837</v>
      </c>
      <c r="E58">
        <v>9.6600788981269572E-2</v>
      </c>
      <c r="F58">
        <v>100000</v>
      </c>
      <c r="G58">
        <v>4.1572141171009793</v>
      </c>
      <c r="H58">
        <v>0.48722254793906405</v>
      </c>
      <c r="I58">
        <v>800.09823779040062</v>
      </c>
      <c r="J58">
        <v>357.40154002966398</v>
      </c>
      <c r="K58">
        <v>4.7547776044972401E-2</v>
      </c>
      <c r="L58">
        <v>165913.24427774531</v>
      </c>
      <c r="M58">
        <v>0.10708583579982202</v>
      </c>
      <c r="N58">
        <v>0.52785126940377058</v>
      </c>
      <c r="O58">
        <v>227.20443916543621</v>
      </c>
      <c r="P58">
        <v>1616.6684424464402</v>
      </c>
    </row>
    <row r="59" spans="1:16" x14ac:dyDescent="0.3">
      <c r="A59">
        <v>58</v>
      </c>
      <c r="B59">
        <v>1.1846116438904937</v>
      </c>
      <c r="C59">
        <v>290.96814966394862</v>
      </c>
      <c r="D59">
        <v>35.998809361059735</v>
      </c>
      <c r="E59">
        <v>9.3634091308436876E-2</v>
      </c>
      <c r="F59">
        <v>100000</v>
      </c>
      <c r="G59">
        <v>4.2249679885689959</v>
      </c>
      <c r="H59">
        <v>0.48166474255195668</v>
      </c>
      <c r="I59">
        <v>797.99835752713318</v>
      </c>
      <c r="J59">
        <v>356.86372246852625</v>
      </c>
      <c r="K59">
        <v>4.7352084731435207E-2</v>
      </c>
      <c r="L59">
        <v>161190.41298442151</v>
      </c>
      <c r="M59">
        <v>0.10414464783863064</v>
      </c>
      <c r="N59">
        <v>0.52218041771642676</v>
      </c>
      <c r="O59">
        <v>227.47148250477966</v>
      </c>
      <c r="P59">
        <v>1572.8270625226942</v>
      </c>
    </row>
    <row r="60" spans="1:16" x14ac:dyDescent="0.3">
      <c r="A60">
        <v>59</v>
      </c>
      <c r="B60">
        <v>1.1854763055774127</v>
      </c>
      <c r="C60">
        <v>291.15935510823039</v>
      </c>
      <c r="D60">
        <v>37.57249674913988</v>
      </c>
      <c r="E60">
        <v>9.455218596182452E-2</v>
      </c>
      <c r="F60">
        <v>100000</v>
      </c>
      <c r="G60">
        <v>3.6092959349867275</v>
      </c>
      <c r="H60">
        <v>0.48301579650551912</v>
      </c>
      <c r="I60">
        <v>791.85281898463279</v>
      </c>
      <c r="J60">
        <v>307.82462978855472</v>
      </c>
      <c r="K60">
        <v>4.4767189190303001E-2</v>
      </c>
      <c r="L60">
        <v>160867.54331555421</v>
      </c>
      <c r="M60">
        <v>0.1040176305707089</v>
      </c>
      <c r="N60">
        <v>0.52089580248991163</v>
      </c>
      <c r="O60">
        <v>228.57435504211705</v>
      </c>
      <c r="P60">
        <v>1381.0783917584267</v>
      </c>
    </row>
    <row r="61" spans="1:16" x14ac:dyDescent="0.3">
      <c r="A61">
        <v>60</v>
      </c>
      <c r="B61">
        <v>1.1854763055774127</v>
      </c>
      <c r="C61">
        <v>291.15935510823039</v>
      </c>
      <c r="D61">
        <v>37.57249674913988</v>
      </c>
      <c r="E61">
        <v>9.455218596182452E-2</v>
      </c>
      <c r="F61">
        <v>100000</v>
      </c>
      <c r="G61">
        <v>3.6092959349867275</v>
      </c>
      <c r="H61">
        <v>0.48301579650551912</v>
      </c>
      <c r="I61">
        <v>791.85281898463279</v>
      </c>
      <c r="J61">
        <v>307.82462978855472</v>
      </c>
      <c r="K61">
        <v>4.4767189190303001E-2</v>
      </c>
      <c r="L61">
        <v>160867.54331555421</v>
      </c>
      <c r="M61">
        <v>0.1040176305707089</v>
      </c>
      <c r="N61">
        <v>0.52089580248991163</v>
      </c>
      <c r="O61">
        <v>228.57435504211705</v>
      </c>
      <c r="P61">
        <v>1381.0783917584267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1"/>
  <dimension ref="A1:B20"/>
  <sheetViews>
    <sheetView tabSelected="1" zoomScale="65" zoomScaleNormal="65" workbookViewId="0">
      <selection activeCell="B1" sqref="B1"/>
    </sheetView>
  </sheetViews>
  <sheetFormatPr defaultColWidth="9.109375" defaultRowHeight="14.4" x14ac:dyDescent="0.3"/>
  <cols>
    <col min="1" max="1" width="36" bestFit="1" customWidth="1"/>
    <col min="2" max="2" width="25.6640625" customWidth="1"/>
    <col min="3" max="3" width="13.5546875" customWidth="1"/>
    <col min="4" max="4" width="228.5546875" customWidth="1"/>
  </cols>
  <sheetData>
    <row r="1" spans="1:2" ht="15.6" thickTop="1" thickBot="1" x14ac:dyDescent="0.35">
      <c r="A1" s="1" t="s">
        <v>30</v>
      </c>
      <c r="B1" s="2"/>
    </row>
    <row r="2" spans="1:2" ht="15.6" thickTop="1" thickBot="1" x14ac:dyDescent="0.35">
      <c r="A2" s="1" t="s">
        <v>31</v>
      </c>
      <c r="B2" s="2"/>
    </row>
    <row r="3" spans="1:2" ht="15.6" thickTop="1" thickBot="1" x14ac:dyDescent="0.35">
      <c r="A3" s="1" t="s">
        <v>32</v>
      </c>
      <c r="B3" s="2"/>
    </row>
    <row r="4" spans="1:2" ht="15.6" thickTop="1" thickBot="1" x14ac:dyDescent="0.35">
      <c r="A4" s="1" t="s">
        <v>33</v>
      </c>
      <c r="B4" s="2"/>
    </row>
    <row r="5" spans="1:2" ht="15.6" thickTop="1" thickBot="1" x14ac:dyDescent="0.35">
      <c r="A5" s="1" t="s">
        <v>34</v>
      </c>
      <c r="B5" s="2"/>
    </row>
    <row r="6" spans="1:2" ht="15.6" thickTop="1" thickBot="1" x14ac:dyDescent="0.35">
      <c r="A6" s="1" t="s">
        <v>35</v>
      </c>
      <c r="B6" s="2"/>
    </row>
    <row r="7" spans="1:2" ht="15.6" thickTop="1" thickBot="1" x14ac:dyDescent="0.35">
      <c r="A7" s="1" t="s">
        <v>36</v>
      </c>
      <c r="B7" s="2"/>
    </row>
    <row r="8" spans="1:2" ht="15.6" thickTop="1" thickBot="1" x14ac:dyDescent="0.35">
      <c r="A8" s="1" t="s">
        <v>37</v>
      </c>
      <c r="B8" s="2"/>
    </row>
    <row r="9" spans="1:2" ht="15.6" thickTop="1" thickBot="1" x14ac:dyDescent="0.35">
      <c r="A9" s="1" t="s">
        <v>38</v>
      </c>
      <c r="B9" s="2"/>
    </row>
    <row r="10" spans="1:2" ht="15.6" thickTop="1" thickBot="1" x14ac:dyDescent="0.35">
      <c r="A10" s="1" t="s">
        <v>39</v>
      </c>
      <c r="B10" s="2"/>
    </row>
    <row r="11" spans="1:2" ht="15.6" thickTop="1" thickBot="1" x14ac:dyDescent="0.35">
      <c r="A11" s="1" t="s">
        <v>40</v>
      </c>
      <c r="B11" s="2"/>
    </row>
    <row r="12" spans="1:2" ht="15.6" thickTop="1" thickBot="1" x14ac:dyDescent="0.35">
      <c r="A12" s="1" t="s">
        <v>41</v>
      </c>
      <c r="B12" s="2"/>
    </row>
    <row r="13" spans="1:2" ht="15.6" thickTop="1" thickBot="1" x14ac:dyDescent="0.35">
      <c r="A13" s="1" t="s">
        <v>42</v>
      </c>
      <c r="B13" s="2"/>
    </row>
    <row r="14" spans="1:2" ht="15.6" thickTop="1" thickBot="1" x14ac:dyDescent="0.35">
      <c r="A14" s="1" t="s">
        <v>43</v>
      </c>
      <c r="B14" s="2"/>
    </row>
    <row r="15" spans="1:2" ht="15.6" thickTop="1" thickBot="1" x14ac:dyDescent="0.35">
      <c r="A15" s="1" t="s">
        <v>67</v>
      </c>
      <c r="B15" s="3" t="str">
        <f>IFERROR(SUMPRODUCT(Solução!$B$3:$B$17,Solução!$C$3:$C$17),"")</f>
        <v/>
      </c>
    </row>
    <row r="16" spans="1:2" ht="15.6" thickTop="1" thickBot="1" x14ac:dyDescent="0.35">
      <c r="A16" s="1" t="s">
        <v>18</v>
      </c>
      <c r="B16" s="4">
        <f>'Coeficiente de Acerto'!$B$125</f>
        <v>0.99999934127938772</v>
      </c>
    </row>
    <row r="17" spans="1:2" ht="409.6" thickTop="1" thickBot="1" x14ac:dyDescent="0.35">
      <c r="A17" s="1" t="s">
        <v>19</v>
      </c>
      <c r="B17" s="5" t="s">
        <v>69</v>
      </c>
    </row>
    <row r="18" spans="1:2" ht="15.6" thickTop="1" thickBot="1" x14ac:dyDescent="0.35">
      <c r="A18" s="1" t="s">
        <v>14</v>
      </c>
      <c r="B18" s="6" t="s">
        <v>26</v>
      </c>
    </row>
    <row r="19" spans="1:2" ht="15.6" thickTop="1" thickBot="1" x14ac:dyDescent="0.35">
      <c r="A19" s="1" t="s">
        <v>20</v>
      </c>
      <c r="B19" s="6" t="s">
        <v>27</v>
      </c>
    </row>
    <row r="20" spans="1:2" ht="15" thickTop="1" x14ac:dyDescent="0.3"/>
  </sheetData>
  <sheetProtection algorithmName="SHA-512" hashValue="M5UG8AcOxsd7bsHnFnvNlrz+zEiePaXcJaRxV0mL7ajnaU2y7q6Rzl7UwbfAXug6VFv6iEHmc06P5LKER+VlTw==" saltValue="Fw/pCIEU/7VQ4EhybmsiNA==" spinCount="100000"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0"/>
  <dimension ref="A1:C17"/>
  <sheetViews>
    <sheetView zoomScale="190" zoomScaleNormal="190" workbookViewId="0">
      <selection activeCell="C3" sqref="C3:C17"/>
    </sheetView>
  </sheetViews>
  <sheetFormatPr defaultRowHeight="14.4" x14ac:dyDescent="0.3"/>
  <cols>
    <col min="2" max="2" width="15.44140625" bestFit="1" customWidth="1"/>
    <col min="3" max="3" width="20.6640625" bestFit="1" customWidth="1"/>
  </cols>
  <sheetData>
    <row r="1" spans="1:3" x14ac:dyDescent="0.3">
      <c r="A1" t="s">
        <v>11</v>
      </c>
    </row>
    <row r="2" spans="1:3" x14ac:dyDescent="0.3">
      <c r="A2" t="s">
        <v>12</v>
      </c>
      <c r="B2" t="s">
        <v>13</v>
      </c>
      <c r="C2" t="s">
        <v>14</v>
      </c>
    </row>
    <row r="3" spans="1:3" x14ac:dyDescent="0.3">
      <c r="A3" t="s">
        <v>15</v>
      </c>
      <c r="B3">
        <f t="array" ref="B3:B17">MMULT('Matrix (((R)^t.(R))^(-1)).(R)^t'!$A$2:$BH$16,'Tabela Entrada-Saída'!$P$2:$P$61)</f>
        <v>-4859506.4848527014</v>
      </c>
      <c r="C3" t="e">
        <f>EXP(((-1)/(2*'Cálculos Diversos'!$B$5))*(SQRT(SUMXMY2(Formulário!$B$1:$B$14,'Coordenadas dos Polos'!$P$2:$AC$2)))^2)</f>
        <v>#DIV/0!</v>
      </c>
    </row>
    <row r="4" spans="1:3" x14ac:dyDescent="0.3">
      <c r="A4" t="s">
        <v>16</v>
      </c>
      <c r="B4">
        <v>10259336560.369453</v>
      </c>
      <c r="C4" t="e">
        <f>EXP(((-1)/(2*'Cálculos Diversos'!$B$5))*(SQRT(SUMXMY2(Formulário!$B$1:$B$14,'Coordenadas dos Polos'!$AD$2:$AQ$2)))^2)</f>
        <v>#DIV/0!</v>
      </c>
    </row>
    <row r="5" spans="1:3" x14ac:dyDescent="0.3">
      <c r="A5" t="s">
        <v>22</v>
      </c>
      <c r="B5">
        <v>37252237133.193512</v>
      </c>
      <c r="C5" t="e">
        <f>EXP(((-1)/(2*'Cálculos Diversos'!$B$5))*(SQRT(SUMXMY2(Formulário!$B$1:$B$14,'Coordenadas dos Polos'!$AR$2:$BE$2)))^2)</f>
        <v>#DIV/0!</v>
      </c>
    </row>
    <row r="6" spans="1:3" x14ac:dyDescent="0.3">
      <c r="A6" t="s">
        <v>56</v>
      </c>
      <c r="B6">
        <v>33339335594.367653</v>
      </c>
      <c r="C6" t="e">
        <f>EXP(((-1)/(2*'Cálculos Diversos'!$B$5))*(SQRT(SUMXMY2(Formulário!$B$1:$B$14,'Coordenadas dos Polos'!$BF$2:$BS$2)))^2)</f>
        <v>#DIV/0!</v>
      </c>
    </row>
    <row r="7" spans="1:3" x14ac:dyDescent="0.3">
      <c r="A7" t="s">
        <v>57</v>
      </c>
      <c r="B7">
        <v>500926370034.46002</v>
      </c>
      <c r="C7" t="e">
        <f>EXP(((-1)/(2*'Cálculos Diversos'!$B$5))*(SQRT(SUMXMY2(Formulário!$B$1:$B$14,'Coordenadas dos Polos'!$BT$2:$CG$2)))^2)</f>
        <v>#DIV/0!</v>
      </c>
    </row>
    <row r="8" spans="1:3" x14ac:dyDescent="0.3">
      <c r="A8" t="s">
        <v>58</v>
      </c>
      <c r="B8">
        <v>15453759402.57547</v>
      </c>
      <c r="C8" t="e">
        <f>EXP(((-1)/(2*'Cálculos Diversos'!$B$5))*(SQRT(SUMXMY2(Formulário!$B$1:$B$14,'Coordenadas dos Polos'!$CH$2:$CU$2)))^2)</f>
        <v>#DIV/0!</v>
      </c>
    </row>
    <row r="9" spans="1:3" x14ac:dyDescent="0.3">
      <c r="A9" t="s">
        <v>59</v>
      </c>
      <c r="B9">
        <v>433352446782.15472</v>
      </c>
      <c r="C9" t="e">
        <f>EXP(((-1)/(2*'Cálculos Diversos'!$B$5))*(SQRT(SUMXMY2(Formulário!$B$1:$B$14,'Coordenadas dos Polos'!$CV$2:$DI$2)))^2)</f>
        <v>#DIV/0!</v>
      </c>
    </row>
    <row r="10" spans="1:3" x14ac:dyDescent="0.3">
      <c r="A10" t="s">
        <v>60</v>
      </c>
      <c r="B10">
        <v>2502506915.7194395</v>
      </c>
      <c r="C10" t="e">
        <f>EXP(((-1)/(2*'Cálculos Diversos'!$B$5))*(SQRT(SUMXMY2(Formulário!$B$1:$B$14,'Coordenadas dos Polos'!$DJ$2:$DW$2)))^2)</f>
        <v>#DIV/0!</v>
      </c>
    </row>
    <row r="11" spans="1:3" x14ac:dyDescent="0.3">
      <c r="A11" t="s">
        <v>61</v>
      </c>
      <c r="B11">
        <v>-21243424357.378578</v>
      </c>
      <c r="C11" t="e">
        <f>EXP(((-1)/(2*'Cálculos Diversos'!$B$5))*(SQRT(SUMXMY2(Formulário!$B$1:$B$14,'Coordenadas dos Polos'!$DX$2:$EK$2)))^2)</f>
        <v>#DIV/0!</v>
      </c>
    </row>
    <row r="12" spans="1:3" x14ac:dyDescent="0.3">
      <c r="A12" t="s">
        <v>62</v>
      </c>
      <c r="B12">
        <v>-1036864787200.3542</v>
      </c>
      <c r="C12" t="e">
        <f>EXP(((-1)/(2*'Cálculos Diversos'!$B$5))*(SQRT(SUMXMY2(Formulário!$B$1:$B$14,'Coordenadas dos Polos'!$EL$2:$EY$2)))^2)</f>
        <v>#DIV/0!</v>
      </c>
    </row>
    <row r="13" spans="1:3" x14ac:dyDescent="0.3">
      <c r="A13" t="s">
        <v>63</v>
      </c>
      <c r="B13">
        <v>-1585547728052.5266</v>
      </c>
      <c r="C13" t="e">
        <f>EXP(((-1)/(2*'Cálculos Diversos'!$B$5))*(SQRT(SUMXMY2(Formulário!$B$1:$B$14,'Coordenadas dos Polos'!$EZ$2:$FM$2)))^2)</f>
        <v>#DIV/0!</v>
      </c>
    </row>
    <row r="14" spans="1:3" x14ac:dyDescent="0.3">
      <c r="A14" t="s">
        <v>64</v>
      </c>
      <c r="B14">
        <v>-301674288423.45239</v>
      </c>
      <c r="C14" t="e">
        <f>EXP(((-1)/(2*'Cálculos Diversos'!$B$5))*(SQRT(SUMXMY2(Formulário!$B$1:$B$14,'Coordenadas dos Polos'!$FN$2:$GA$2)))^2)</f>
        <v>#DIV/0!</v>
      </c>
    </row>
    <row r="15" spans="1:3" x14ac:dyDescent="0.3">
      <c r="A15" t="s">
        <v>65</v>
      </c>
      <c r="B15">
        <v>23837936838.473022</v>
      </c>
      <c r="C15" t="e">
        <f>EXP(((-1)/(2*'Cálculos Diversos'!$B$5))*(SQRT(SUMXMY2(Formulário!$B$1:$B$14,'Coordenadas dos Polos'!$GB$2:$GO$2)))^2)</f>
        <v>#DIV/0!</v>
      </c>
    </row>
    <row r="16" spans="1:3" x14ac:dyDescent="0.3">
      <c r="A16" t="s">
        <v>66</v>
      </c>
      <c r="B16">
        <v>-193785075691.79846</v>
      </c>
      <c r="C16" t="e">
        <f>EXP(((-1)/(2*'Cálculos Diversos'!$B$5))*(SQRT(SUMXMY2(Formulário!$B$1:$B$14,'Coordenadas dos Polos'!$GP$2:$HC$2)))^2)</f>
        <v>#DIV/0!</v>
      </c>
    </row>
    <row r="17" spans="1:3" x14ac:dyDescent="0.3">
      <c r="A17" t="s">
        <v>17</v>
      </c>
      <c r="B17">
        <v>-33239.639666105388</v>
      </c>
      <c r="C17">
        <v>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">
    <pageSetUpPr fitToPage="1"/>
  </sheetPr>
  <dimension ref="A1:Q61"/>
  <sheetViews>
    <sheetView topLeftCell="A46" zoomScale="130" zoomScaleNormal="130" workbookViewId="0">
      <selection activeCell="A62" sqref="A62"/>
    </sheetView>
  </sheetViews>
  <sheetFormatPr defaultRowHeight="14.4" x14ac:dyDescent="0.3"/>
  <cols>
    <col min="1" max="1" width="4.21875" bestFit="1" customWidth="1"/>
    <col min="2" max="6" width="6" bestFit="1" customWidth="1"/>
    <col min="7" max="11" width="4.88671875" bestFit="1" customWidth="1"/>
    <col min="12" max="16" width="6" bestFit="1" customWidth="1"/>
    <col min="17" max="17" width="4.88671875" bestFit="1" customWidth="1"/>
    <col min="18" max="18" width="4.21875" bestFit="1" customWidth="1"/>
    <col min="19" max="20" width="4.88671875" bestFit="1" customWidth="1"/>
    <col min="21" max="21" width="4.21875" bestFit="1" customWidth="1"/>
    <col min="22" max="23" width="6" bestFit="1" customWidth="1"/>
  </cols>
  <sheetData>
    <row r="1" spans="1:17" x14ac:dyDescent="0.3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68</v>
      </c>
      <c r="Q1" t="s">
        <v>44</v>
      </c>
    </row>
    <row r="2" spans="1:17" x14ac:dyDescent="0.3">
      <c r="A2">
        <v>1</v>
      </c>
      <c r="B2">
        <v>1.1667530292701285</v>
      </c>
      <c r="C2">
        <v>286.66781485369677</v>
      </c>
      <c r="D2">
        <v>49.320530346724809</v>
      </c>
      <c r="E2">
        <v>0.16965971584048542</v>
      </c>
      <c r="F2">
        <v>100000</v>
      </c>
      <c r="G2">
        <v>2.295154926737681</v>
      </c>
      <c r="H2">
        <v>0.4126623629590726</v>
      </c>
      <c r="I2">
        <v>763.12336098254946</v>
      </c>
      <c r="J2">
        <v>658.63039850330097</v>
      </c>
      <c r="K2">
        <v>4.6033458396396595E-2</v>
      </c>
      <c r="L2">
        <v>192584.85386646137</v>
      </c>
      <c r="M2">
        <v>0.14992799634844137</v>
      </c>
      <c r="N2">
        <v>0.78927563588214744</v>
      </c>
      <c r="O2">
        <v>240.59562282956699</v>
      </c>
      <c r="P2">
        <v>2540.1111195078629</v>
      </c>
      <c r="Q2">
        <v>2540.2253641744028</v>
      </c>
    </row>
    <row r="3" spans="1:17" x14ac:dyDescent="0.3">
      <c r="A3">
        <v>2</v>
      </c>
      <c r="B3">
        <v>1.1637387993215749</v>
      </c>
      <c r="C3">
        <v>290.32608405394734</v>
      </c>
      <c r="D3">
        <v>76.356998217360712</v>
      </c>
      <c r="E3">
        <v>0.15408288442378273</v>
      </c>
      <c r="F3">
        <v>100000</v>
      </c>
      <c r="G3">
        <v>9.8468249107742398</v>
      </c>
      <c r="H3">
        <v>0.4045255822862811</v>
      </c>
      <c r="I3">
        <v>757.44703132454254</v>
      </c>
      <c r="J3">
        <v>557.67749827552518</v>
      </c>
      <c r="K3">
        <v>3.6015896098957501E-2</v>
      </c>
      <c r="L3">
        <v>137362.82880296651</v>
      </c>
      <c r="M3">
        <v>8.9715847756492551E-2</v>
      </c>
      <c r="N3">
        <v>0.6519625179348818</v>
      </c>
      <c r="O3">
        <v>186.19577049529653</v>
      </c>
      <c r="P3">
        <v>2772.9128895238318</v>
      </c>
      <c r="Q3">
        <v>2773.2924357432639</v>
      </c>
    </row>
    <row r="4" spans="1:17" x14ac:dyDescent="0.3">
      <c r="A4">
        <v>3</v>
      </c>
      <c r="B4">
        <v>1.2044158756957899</v>
      </c>
      <c r="C4">
        <v>292.14325950932323</v>
      </c>
      <c r="D4">
        <v>13.784159862966366</v>
      </c>
      <c r="E4">
        <v>0.13519853459984163</v>
      </c>
      <c r="F4">
        <v>100000</v>
      </c>
      <c r="G4">
        <v>6.4358138575449297</v>
      </c>
      <c r="H4">
        <v>0.47521773855147065</v>
      </c>
      <c r="I4">
        <v>859.52565190576479</v>
      </c>
      <c r="J4">
        <v>517.43981495248045</v>
      </c>
      <c r="K4">
        <v>1.7006569355698664E-2</v>
      </c>
      <c r="L4">
        <v>185485.27945778327</v>
      </c>
      <c r="M4">
        <v>0.16777236757156772</v>
      </c>
      <c r="N4">
        <v>0.43828899956512724</v>
      </c>
      <c r="O4">
        <v>239.06278275957965</v>
      </c>
      <c r="P4">
        <v>1994.1680413612557</v>
      </c>
      <c r="Q4">
        <v>1994.6721883189748</v>
      </c>
    </row>
    <row r="5" spans="1:17" x14ac:dyDescent="0.3">
      <c r="A5">
        <v>4</v>
      </c>
      <c r="B5">
        <v>1.2018688128286317</v>
      </c>
      <c r="C5">
        <v>287.61774275795892</v>
      </c>
      <c r="D5">
        <v>8.6713341362277312</v>
      </c>
      <c r="E5">
        <v>0.14513980393738357</v>
      </c>
      <c r="F5">
        <v>100000</v>
      </c>
      <c r="G5">
        <v>3.9557365545934529</v>
      </c>
      <c r="H5">
        <v>0.40536326269660922</v>
      </c>
      <c r="I5">
        <v>746.3217180846417</v>
      </c>
      <c r="J5">
        <v>210.30805809632758</v>
      </c>
      <c r="K5">
        <v>7.3861776337964147E-2</v>
      </c>
      <c r="L5">
        <v>134020.17059652868</v>
      </c>
      <c r="M5">
        <v>9.2737693283689776E-2</v>
      </c>
      <c r="N5">
        <v>0.35417266633745054</v>
      </c>
      <c r="O5">
        <v>224.56427150900089</v>
      </c>
      <c r="P5">
        <v>941.24542910436139</v>
      </c>
      <c r="Q5">
        <v>940.95918836281635</v>
      </c>
    </row>
    <row r="6" spans="1:17" x14ac:dyDescent="0.3">
      <c r="A6">
        <v>5</v>
      </c>
      <c r="B6">
        <v>1.1624211650174012</v>
      </c>
      <c r="C6">
        <v>295.2257330474572</v>
      </c>
      <c r="D6">
        <v>48.629963933721875</v>
      </c>
      <c r="E6">
        <v>0.14641587052709071</v>
      </c>
      <c r="F6">
        <v>100000</v>
      </c>
      <c r="G6">
        <v>4.458847216472912</v>
      </c>
      <c r="H6">
        <v>0.5195577076855552</v>
      </c>
      <c r="I6">
        <v>804.08653698499779</v>
      </c>
      <c r="J6">
        <v>101.83915416795141</v>
      </c>
      <c r="K6">
        <v>5.9270832515313294E-2</v>
      </c>
      <c r="L6">
        <v>166657.7923230585</v>
      </c>
      <c r="M6">
        <v>0.16382232942267907</v>
      </c>
      <c r="N6">
        <v>0.75663519499451459</v>
      </c>
      <c r="O6">
        <v>180.88562253366283</v>
      </c>
      <c r="P6">
        <v>924.96078076649428</v>
      </c>
      <c r="Q6">
        <v>925.507844788488</v>
      </c>
    </row>
    <row r="7" spans="1:17" x14ac:dyDescent="0.3">
      <c r="A7">
        <v>6</v>
      </c>
      <c r="B7">
        <v>1.1705519537285254</v>
      </c>
      <c r="C7">
        <v>296.41512812195037</v>
      </c>
      <c r="D7">
        <v>17.09713766634048</v>
      </c>
      <c r="E7">
        <v>1.1297325946142467E-2</v>
      </c>
      <c r="F7">
        <v>100000</v>
      </c>
      <c r="G7">
        <v>7.797394521943243</v>
      </c>
      <c r="H7">
        <v>0.42511131650732253</v>
      </c>
      <c r="I7">
        <v>837.90801417929572</v>
      </c>
      <c r="J7">
        <v>302.03935286183753</v>
      </c>
      <c r="K7">
        <v>4.7695453847198456E-2</v>
      </c>
      <c r="L7">
        <v>153967.22939929293</v>
      </c>
      <c r="M7">
        <v>9.8065370514674718E-2</v>
      </c>
      <c r="N7">
        <v>0.38261673701297944</v>
      </c>
      <c r="O7">
        <v>253.5264895781134</v>
      </c>
      <c r="P7">
        <v>1149.0235776170666</v>
      </c>
      <c r="Q7">
        <v>1148.9105174633441</v>
      </c>
    </row>
    <row r="8" spans="1:17" x14ac:dyDescent="0.3">
      <c r="A8">
        <v>7</v>
      </c>
      <c r="B8">
        <v>1.1844912972126356</v>
      </c>
      <c r="C8">
        <v>292.49460715577453</v>
      </c>
      <c r="D8">
        <v>33.127492000668468</v>
      </c>
      <c r="E8">
        <v>7.9639208012270035E-2</v>
      </c>
      <c r="F8">
        <v>100000</v>
      </c>
      <c r="G8">
        <v>5.6658027027726323</v>
      </c>
      <c r="H8">
        <v>0.4371472740198078</v>
      </c>
      <c r="I8">
        <v>754.66903685224577</v>
      </c>
      <c r="J8">
        <v>349.83626512934336</v>
      </c>
      <c r="K8">
        <v>9.6412103175524226E-3</v>
      </c>
      <c r="L8">
        <v>119811.62098438881</v>
      </c>
      <c r="M8">
        <v>0.13250757810119448</v>
      </c>
      <c r="N8">
        <v>0.57735705772685963</v>
      </c>
      <c r="O8">
        <v>183.64603438472477</v>
      </c>
      <c r="P8">
        <v>1387.1107206908564</v>
      </c>
      <c r="Q8">
        <v>1385.9911221173825</v>
      </c>
    </row>
    <row r="9" spans="1:17" x14ac:dyDescent="0.3">
      <c r="A9">
        <v>8</v>
      </c>
      <c r="B9">
        <v>1.1752045171504428</v>
      </c>
      <c r="C9">
        <v>297.74115631905158</v>
      </c>
      <c r="D9">
        <v>8.6568593347077503</v>
      </c>
      <c r="E9">
        <v>3.3736437305737742E-2</v>
      </c>
      <c r="F9">
        <v>100000</v>
      </c>
      <c r="G9">
        <v>9.388218612579923</v>
      </c>
      <c r="H9">
        <v>0.50262940547937096</v>
      </c>
      <c r="I9">
        <v>878.12281029710459</v>
      </c>
      <c r="J9">
        <v>67.154104815149424</v>
      </c>
      <c r="K9">
        <v>3.4689302241255798E-2</v>
      </c>
      <c r="L9">
        <v>199671.44947157963</v>
      </c>
      <c r="M9">
        <v>0.10720512038672406</v>
      </c>
      <c r="N9">
        <v>0.46647876339672478</v>
      </c>
      <c r="O9">
        <v>186.42886849743837</v>
      </c>
      <c r="P9">
        <v>1923.1835614032389</v>
      </c>
      <c r="Q9">
        <v>1922.8952483324683</v>
      </c>
    </row>
    <row r="10" spans="1:17" x14ac:dyDescent="0.3">
      <c r="A10">
        <v>9</v>
      </c>
      <c r="B10">
        <v>1.1599999999999999</v>
      </c>
      <c r="C10">
        <v>300</v>
      </c>
      <c r="D10">
        <v>2</v>
      </c>
      <c r="E10">
        <v>8.0000000000000002E-3</v>
      </c>
      <c r="F10">
        <v>100000</v>
      </c>
      <c r="G10">
        <v>1.7999999999999999E-2</v>
      </c>
      <c r="H10">
        <v>0.43</v>
      </c>
      <c r="I10">
        <v>800</v>
      </c>
      <c r="J10">
        <v>5</v>
      </c>
      <c r="K10">
        <v>8.0000000000000002E-3</v>
      </c>
      <c r="L10">
        <v>100000</v>
      </c>
      <c r="M10">
        <v>0.05</v>
      </c>
      <c r="N10">
        <v>0.33</v>
      </c>
      <c r="O10">
        <v>260</v>
      </c>
      <c r="P10">
        <v>60</v>
      </c>
      <c r="Q10">
        <v>60.080727201071568</v>
      </c>
    </row>
    <row r="11" spans="1:17" x14ac:dyDescent="0.3">
      <c r="A11">
        <v>10</v>
      </c>
      <c r="B11">
        <v>1.1863645271249033</v>
      </c>
      <c r="C11">
        <v>294.02941129868037</v>
      </c>
      <c r="D11">
        <v>13.037246120227197</v>
      </c>
      <c r="E11">
        <v>9.8599031473302109E-2</v>
      </c>
      <c r="F11">
        <v>100000</v>
      </c>
      <c r="G11">
        <v>2.8359104940982225</v>
      </c>
      <c r="H11">
        <v>0.4006640491038907</v>
      </c>
      <c r="I11">
        <v>875.80464183734</v>
      </c>
      <c r="J11">
        <v>524.92679152448727</v>
      </c>
      <c r="K11">
        <v>5.0520113780222795E-2</v>
      </c>
      <c r="L11">
        <v>118231.58451703473</v>
      </c>
      <c r="M11">
        <v>0.14535954538161339</v>
      </c>
      <c r="N11">
        <v>0.61141248666221903</v>
      </c>
      <c r="O11">
        <v>198.02834093429564</v>
      </c>
      <c r="P11">
        <v>1973.9178719820266</v>
      </c>
      <c r="Q11">
        <v>1973.5330299217021</v>
      </c>
    </row>
    <row r="12" spans="1:17" x14ac:dyDescent="0.3">
      <c r="A12">
        <v>11</v>
      </c>
      <c r="B12">
        <v>1.1729645406537783</v>
      </c>
      <c r="C12">
        <v>293.39660969092347</v>
      </c>
      <c r="D12">
        <v>66.486766660015746</v>
      </c>
      <c r="E12">
        <v>0.13917979513766859</v>
      </c>
      <c r="F12">
        <v>100000</v>
      </c>
      <c r="G12">
        <v>0.54758259115975338</v>
      </c>
      <c r="H12">
        <v>0.50760459962582272</v>
      </c>
      <c r="I12">
        <v>757.77837271387534</v>
      </c>
      <c r="J12">
        <v>252.82665385718241</v>
      </c>
      <c r="K12">
        <v>4.9254877084440554E-2</v>
      </c>
      <c r="L12">
        <v>161577.46491429102</v>
      </c>
      <c r="M12">
        <v>9.3950193646043512E-2</v>
      </c>
      <c r="N12">
        <v>0.65428073687006583</v>
      </c>
      <c r="O12">
        <v>242.55474133985615</v>
      </c>
      <c r="P12">
        <v>990.02375374285475</v>
      </c>
      <c r="Q12">
        <v>990.19490193924867</v>
      </c>
    </row>
    <row r="13" spans="1:17" x14ac:dyDescent="0.3">
      <c r="A13">
        <v>12</v>
      </c>
      <c r="B13">
        <v>1.1715399378752125</v>
      </c>
      <c r="C13">
        <v>293.9186882234294</v>
      </c>
      <c r="D13">
        <v>10.639739294747354</v>
      </c>
      <c r="E13">
        <v>0.14589480298499208</v>
      </c>
      <c r="F13">
        <v>100000</v>
      </c>
      <c r="G13">
        <v>6.2802530069970279</v>
      </c>
      <c r="H13">
        <v>0.48129577225547154</v>
      </c>
      <c r="I13">
        <v>796.1142927222711</v>
      </c>
      <c r="J13">
        <v>485.07747877766099</v>
      </c>
      <c r="K13">
        <v>2.3442500483973602E-2</v>
      </c>
      <c r="L13">
        <v>126852.1169651916</v>
      </c>
      <c r="M13">
        <v>5.5247567391543219E-2</v>
      </c>
      <c r="N13">
        <v>0.405983829114971</v>
      </c>
      <c r="O13">
        <v>202.86834376671251</v>
      </c>
      <c r="P13">
        <v>1876.833326313812</v>
      </c>
      <c r="Q13">
        <v>1877.8151240856387</v>
      </c>
    </row>
    <row r="14" spans="1:17" x14ac:dyDescent="0.3">
      <c r="A14">
        <v>13</v>
      </c>
      <c r="B14">
        <v>1.1834600513440603</v>
      </c>
      <c r="C14">
        <v>296.79928024976806</v>
      </c>
      <c r="D14">
        <v>51.944594682467695</v>
      </c>
      <c r="E14">
        <v>9.4607762713498134E-2</v>
      </c>
      <c r="F14">
        <v>100000</v>
      </c>
      <c r="G14">
        <v>2.728392895448442</v>
      </c>
      <c r="H14">
        <v>0.49397624430053633</v>
      </c>
      <c r="I14">
        <v>764.25953532885876</v>
      </c>
      <c r="J14">
        <v>198.45624273815665</v>
      </c>
      <c r="K14">
        <v>1.0515926035967847E-2</v>
      </c>
      <c r="L14">
        <v>162181.73402825234</v>
      </c>
      <c r="M14">
        <v>0.1011693044377161</v>
      </c>
      <c r="N14">
        <v>0.41676968418847427</v>
      </c>
      <c r="O14">
        <v>205.09057136416428</v>
      </c>
      <c r="P14">
        <v>855.70743371725985</v>
      </c>
      <c r="Q14">
        <v>856.23492958833231</v>
      </c>
    </row>
    <row r="15" spans="1:17" x14ac:dyDescent="0.3">
      <c r="A15">
        <v>14</v>
      </c>
      <c r="B15">
        <v>1.1788818218014081</v>
      </c>
      <c r="C15">
        <v>291.40269925733168</v>
      </c>
      <c r="D15">
        <v>17.155108207148217</v>
      </c>
      <c r="E15">
        <v>0.12416363904584618</v>
      </c>
      <c r="F15">
        <v>100000</v>
      </c>
      <c r="G15">
        <v>8.6604743009740854</v>
      </c>
      <c r="H15">
        <v>0.50364466674952724</v>
      </c>
      <c r="I15">
        <v>856.32376372973397</v>
      </c>
      <c r="J15">
        <v>128.82182759155734</v>
      </c>
      <c r="K15">
        <v>1.911811758958129E-2</v>
      </c>
      <c r="L15">
        <v>174918.71712178297</v>
      </c>
      <c r="M15">
        <v>0.12237837266074655</v>
      </c>
      <c r="N15">
        <v>0.60926705612178278</v>
      </c>
      <c r="O15">
        <v>214.09505846836413</v>
      </c>
      <c r="P15">
        <v>1335.7393316167218</v>
      </c>
      <c r="Q15">
        <v>1336.3342629963881</v>
      </c>
    </row>
    <row r="16" spans="1:17" x14ac:dyDescent="0.3">
      <c r="A16">
        <v>15</v>
      </c>
      <c r="B16">
        <v>1.189828922648337</v>
      </c>
      <c r="C16">
        <v>289.45455163709482</v>
      </c>
      <c r="D16">
        <v>34.419859616428127</v>
      </c>
      <c r="E16">
        <v>0.1361962383603624</v>
      </c>
      <c r="F16">
        <v>100000</v>
      </c>
      <c r="G16">
        <v>3.2453864996373891</v>
      </c>
      <c r="H16">
        <v>0.50301948429145638</v>
      </c>
      <c r="I16">
        <v>772.61660641449919</v>
      </c>
      <c r="J16">
        <v>411.56178074535433</v>
      </c>
      <c r="K16">
        <v>3.4990681829183398E-2</v>
      </c>
      <c r="L16">
        <v>172788.33553333563</v>
      </c>
      <c r="M16">
        <v>0.13800175778086837</v>
      </c>
      <c r="N16">
        <v>0.65536084157339003</v>
      </c>
      <c r="O16">
        <v>214.73922983279206</v>
      </c>
      <c r="P16">
        <v>1794.3802535401119</v>
      </c>
      <c r="Q16">
        <v>1793.846232825832</v>
      </c>
    </row>
    <row r="17" spans="1:17" x14ac:dyDescent="0.3">
      <c r="A17">
        <v>16</v>
      </c>
      <c r="B17">
        <v>1.1797900198056976</v>
      </c>
      <c r="C17">
        <v>290.67264167452203</v>
      </c>
      <c r="D17">
        <v>66.026138134958799</v>
      </c>
      <c r="E17">
        <v>0.1180464638117775</v>
      </c>
      <c r="F17">
        <v>100000</v>
      </c>
      <c r="G17">
        <v>1.2418117434650759</v>
      </c>
      <c r="H17">
        <v>0.47787253304630201</v>
      </c>
      <c r="I17">
        <v>796.06474478961582</v>
      </c>
      <c r="J17">
        <v>467.94523334836521</v>
      </c>
      <c r="K17">
        <v>1.6199251332970285E-2</v>
      </c>
      <c r="L17">
        <v>144799.10797847839</v>
      </c>
      <c r="M17">
        <v>0.12937872250377058</v>
      </c>
      <c r="N17">
        <v>0.52336254094954071</v>
      </c>
      <c r="O17">
        <v>226.32793943076197</v>
      </c>
      <c r="P17">
        <v>1702.9714892952979</v>
      </c>
      <c r="Q17">
        <v>1703.5447988611413</v>
      </c>
    </row>
    <row r="18" spans="1:17" x14ac:dyDescent="0.3">
      <c r="A18">
        <v>17</v>
      </c>
      <c r="B18">
        <v>1.1844814367889824</v>
      </c>
      <c r="C18">
        <v>289.99342718337044</v>
      </c>
      <c r="D18">
        <v>57.144293069411361</v>
      </c>
      <c r="E18">
        <v>8.6295563133106309E-2</v>
      </c>
      <c r="F18">
        <v>100000</v>
      </c>
      <c r="G18">
        <v>4.2378197818462562</v>
      </c>
      <c r="H18">
        <v>0.47315260998239073</v>
      </c>
      <c r="I18">
        <v>766.46691433177523</v>
      </c>
      <c r="J18">
        <v>227.60699852590272</v>
      </c>
      <c r="K18">
        <v>2.1337609191090363E-2</v>
      </c>
      <c r="L18">
        <v>177474.71199794975</v>
      </c>
      <c r="M18">
        <v>0.1267271730044888</v>
      </c>
      <c r="N18">
        <v>0.58285015363379078</v>
      </c>
      <c r="O18">
        <v>222.55480535772159</v>
      </c>
      <c r="P18">
        <v>1610.1124068199933</v>
      </c>
      <c r="Q18">
        <v>1610.0958358109347</v>
      </c>
    </row>
    <row r="19" spans="1:17" x14ac:dyDescent="0.3">
      <c r="A19">
        <v>18</v>
      </c>
      <c r="B19">
        <v>1.1740108036653045</v>
      </c>
      <c r="C19">
        <v>294.18421439601582</v>
      </c>
      <c r="D19">
        <v>12.472413966080417</v>
      </c>
      <c r="E19">
        <v>7.3532746256728482E-2</v>
      </c>
      <c r="F19">
        <v>100000</v>
      </c>
      <c r="G19">
        <v>4.3413156370180292</v>
      </c>
      <c r="H19">
        <v>0.47937211126068502</v>
      </c>
      <c r="I19">
        <v>856.89120321277517</v>
      </c>
      <c r="J19">
        <v>204.55512875290879</v>
      </c>
      <c r="K19">
        <v>3.9142450608180529E-2</v>
      </c>
      <c r="L19">
        <v>153067.13892342028</v>
      </c>
      <c r="M19">
        <v>8.6462074165304187E-2</v>
      </c>
      <c r="N19">
        <v>0.51732571224818946</v>
      </c>
      <c r="O19">
        <v>222.68074341819968</v>
      </c>
      <c r="P19">
        <v>840.43014171258983</v>
      </c>
      <c r="Q19">
        <v>840.38543372170534</v>
      </c>
    </row>
    <row r="20" spans="1:17" x14ac:dyDescent="0.3">
      <c r="A20">
        <v>19</v>
      </c>
      <c r="B20">
        <v>1.1774975665717502</v>
      </c>
      <c r="C20">
        <v>289.77045828002298</v>
      </c>
      <c r="D20">
        <v>54.995103183103538</v>
      </c>
      <c r="E20">
        <v>0.13275361359695659</v>
      </c>
      <c r="F20">
        <v>100000</v>
      </c>
      <c r="G20">
        <v>5.9604136976445146</v>
      </c>
      <c r="H20">
        <v>0.49048233117694279</v>
      </c>
      <c r="I20">
        <v>792.9980383952992</v>
      </c>
      <c r="J20">
        <v>221.92959695996637</v>
      </c>
      <c r="K20">
        <v>5.7019462483625022E-2</v>
      </c>
      <c r="L20">
        <v>150467.79922292745</v>
      </c>
      <c r="M20">
        <v>9.6555226567152264E-2</v>
      </c>
      <c r="N20">
        <v>0.42798539765641624</v>
      </c>
      <c r="O20">
        <v>204.19581862323108</v>
      </c>
      <c r="P20">
        <v>1412.2933062316661</v>
      </c>
      <c r="Q20">
        <v>1412.1614217063179</v>
      </c>
    </row>
    <row r="21" spans="1:17" x14ac:dyDescent="0.3">
      <c r="A21">
        <v>20</v>
      </c>
      <c r="B21">
        <v>1.1880193984562519</v>
      </c>
      <c r="C21">
        <v>290.34443836343758</v>
      </c>
      <c r="D21">
        <v>20.79046632431924</v>
      </c>
      <c r="E21">
        <v>0.12050327512497727</v>
      </c>
      <c r="F21">
        <v>100000</v>
      </c>
      <c r="G21">
        <v>7.208984026833253</v>
      </c>
      <c r="H21">
        <v>0.49800045285576833</v>
      </c>
      <c r="I21">
        <v>774.14785444496806</v>
      </c>
      <c r="J21">
        <v>413.10382944474213</v>
      </c>
      <c r="K21">
        <v>6.6402143536600414E-2</v>
      </c>
      <c r="L21">
        <v>153176.60417975322</v>
      </c>
      <c r="M21">
        <v>0.13488863416600988</v>
      </c>
      <c r="N21">
        <v>0.51960387305215694</v>
      </c>
      <c r="O21">
        <v>233.21321473397438</v>
      </c>
      <c r="P21">
        <v>1862.3601495018738</v>
      </c>
      <c r="Q21">
        <v>1862.4082555125933</v>
      </c>
    </row>
    <row r="22" spans="1:17" x14ac:dyDescent="0.3">
      <c r="A22">
        <v>21</v>
      </c>
      <c r="B22">
        <v>1.188208708218486</v>
      </c>
      <c r="C22">
        <v>291.78138601097066</v>
      </c>
      <c r="D22">
        <v>54.417062328338005</v>
      </c>
      <c r="E22">
        <v>0.11984691524485561</v>
      </c>
      <c r="F22">
        <v>100000</v>
      </c>
      <c r="G22">
        <v>4.5946741819401611</v>
      </c>
      <c r="H22">
        <v>0.49554605436762339</v>
      </c>
      <c r="I22">
        <v>808.0530573980119</v>
      </c>
      <c r="J22">
        <v>441.557111085016</v>
      </c>
      <c r="K22">
        <v>3.468970930591566E-2</v>
      </c>
      <c r="L22">
        <v>142985.29682538088</v>
      </c>
      <c r="M22">
        <v>0.13392630559334717</v>
      </c>
      <c r="N22">
        <v>0.58751493399264021</v>
      </c>
      <c r="O22">
        <v>237.16846774225661</v>
      </c>
      <c r="P22">
        <v>1695.9753761401444</v>
      </c>
      <c r="Q22">
        <v>1696.0989963359898</v>
      </c>
    </row>
    <row r="23" spans="1:17" x14ac:dyDescent="0.3">
      <c r="A23">
        <v>22</v>
      </c>
      <c r="B23">
        <v>1.1823323324246318</v>
      </c>
      <c r="C23">
        <v>291.40003325127111</v>
      </c>
      <c r="D23">
        <v>28.174629100653142</v>
      </c>
      <c r="E23">
        <v>0.10756887787380046</v>
      </c>
      <c r="F23">
        <v>100000</v>
      </c>
      <c r="G23">
        <v>3.9469385163900896</v>
      </c>
      <c r="H23">
        <v>0.49099757408999006</v>
      </c>
      <c r="I23">
        <v>795.84163470431122</v>
      </c>
      <c r="J23">
        <v>297.6066609435901</v>
      </c>
      <c r="K23">
        <v>1.7798500623277026E-2</v>
      </c>
      <c r="L23">
        <v>175531.81586677657</v>
      </c>
      <c r="M23">
        <v>0.11772047107791392</v>
      </c>
      <c r="N23">
        <v>0.60724462791988643</v>
      </c>
      <c r="O23">
        <v>224.69077563153093</v>
      </c>
      <c r="P23">
        <v>1440.3615554309727</v>
      </c>
      <c r="Q23">
        <v>1440.5267973831506</v>
      </c>
    </row>
    <row r="24" spans="1:17" x14ac:dyDescent="0.3">
      <c r="A24">
        <v>23</v>
      </c>
      <c r="B24">
        <v>1.1822897611420855</v>
      </c>
      <c r="C24">
        <v>289.83249163179261</v>
      </c>
      <c r="D24">
        <v>28.679571949615877</v>
      </c>
      <c r="E24">
        <v>0.10685932407846019</v>
      </c>
      <c r="F24">
        <v>100000</v>
      </c>
      <c r="G24">
        <v>2.5631325641126015</v>
      </c>
      <c r="H24">
        <v>0.49331338115661905</v>
      </c>
      <c r="I24">
        <v>786.57985918939323</v>
      </c>
      <c r="J24">
        <v>305.30341576824759</v>
      </c>
      <c r="K24">
        <v>4.5603446123309785E-2</v>
      </c>
      <c r="L24">
        <v>139161.97551716151</v>
      </c>
      <c r="M24">
        <v>8.7929690327198939E-2</v>
      </c>
      <c r="N24">
        <v>0.4292270426768568</v>
      </c>
      <c r="O24">
        <v>231.12381699613732</v>
      </c>
      <c r="P24">
        <v>1108.9441611295842</v>
      </c>
      <c r="Q24">
        <v>1109.1952510572737</v>
      </c>
    </row>
    <row r="25" spans="1:17" x14ac:dyDescent="0.3">
      <c r="A25">
        <v>24</v>
      </c>
      <c r="B25">
        <v>1.1830835351799578</v>
      </c>
      <c r="C25">
        <v>291.56821234520027</v>
      </c>
      <c r="D25">
        <v>56.313637528584515</v>
      </c>
      <c r="E25">
        <v>0.11321065610777964</v>
      </c>
      <c r="F25">
        <v>100000</v>
      </c>
      <c r="G25">
        <v>1.7411734925087776</v>
      </c>
      <c r="H25">
        <v>0.4937142555490317</v>
      </c>
      <c r="I25">
        <v>834.61214311974391</v>
      </c>
      <c r="J25">
        <v>288.66739393297166</v>
      </c>
      <c r="K25">
        <v>3.9175692470987164E-2</v>
      </c>
      <c r="L25">
        <v>142346.05244436173</v>
      </c>
      <c r="M25">
        <v>9.6635551260441058E-2</v>
      </c>
      <c r="N25">
        <v>0.55216372928291801</v>
      </c>
      <c r="O25">
        <v>224.34619611979994</v>
      </c>
      <c r="P25">
        <v>1046.7616909229473</v>
      </c>
      <c r="Q25">
        <v>1046.1413195293862</v>
      </c>
    </row>
    <row r="26" spans="1:17" x14ac:dyDescent="0.3">
      <c r="A26">
        <v>25</v>
      </c>
      <c r="B26">
        <v>1.1813187708777266</v>
      </c>
      <c r="C26">
        <v>290.3935977128769</v>
      </c>
      <c r="D26">
        <v>48.787629366078725</v>
      </c>
      <c r="E26">
        <v>0.12211406897130427</v>
      </c>
      <c r="F26">
        <v>100000</v>
      </c>
      <c r="G26">
        <v>3.2276929297856127</v>
      </c>
      <c r="H26">
        <v>0.48281453398100338</v>
      </c>
      <c r="I26">
        <v>795.63794702617076</v>
      </c>
      <c r="J26">
        <v>242.68109127698108</v>
      </c>
      <c r="K26">
        <v>6.4121776946413869E-2</v>
      </c>
      <c r="L26">
        <v>170727.21806787123</v>
      </c>
      <c r="M26">
        <v>8.7755100078030751E-2</v>
      </c>
      <c r="N26">
        <v>0.53496237359398913</v>
      </c>
      <c r="O26">
        <v>209.06600274927786</v>
      </c>
      <c r="P26">
        <v>1448.2778799246225</v>
      </c>
      <c r="Q26">
        <v>1448.2201092003379</v>
      </c>
    </row>
    <row r="27" spans="1:17" x14ac:dyDescent="0.3">
      <c r="A27">
        <v>26</v>
      </c>
      <c r="B27">
        <v>1.1888806009168553</v>
      </c>
      <c r="C27">
        <v>292.65799515287966</v>
      </c>
      <c r="D27">
        <v>51.015765991956052</v>
      </c>
      <c r="E27">
        <v>9.0365935289773769E-2</v>
      </c>
      <c r="F27">
        <v>100000</v>
      </c>
      <c r="G27">
        <v>1.8542115022305889</v>
      </c>
      <c r="H27">
        <v>0.47872190432876027</v>
      </c>
      <c r="I27">
        <v>839.7660913450145</v>
      </c>
      <c r="J27">
        <v>392.05269684475559</v>
      </c>
      <c r="K27">
        <v>4.5864130174332017E-2</v>
      </c>
      <c r="L27">
        <v>142327.89682806074</v>
      </c>
      <c r="M27">
        <v>9.6646945300689804E-2</v>
      </c>
      <c r="N27">
        <v>0.513152884657472</v>
      </c>
      <c r="O27">
        <v>219.0269157357497</v>
      </c>
      <c r="P27">
        <v>1372.9792951396012</v>
      </c>
      <c r="Q27">
        <v>1372.7473735148087</v>
      </c>
    </row>
    <row r="28" spans="1:17" x14ac:dyDescent="0.3">
      <c r="A28">
        <v>27</v>
      </c>
      <c r="B28">
        <v>1.1803743605463171</v>
      </c>
      <c r="C28">
        <v>292.50042783777911</v>
      </c>
      <c r="D28">
        <v>55.162399608891704</v>
      </c>
      <c r="E28">
        <v>0.12023453325991318</v>
      </c>
      <c r="F28">
        <v>100000</v>
      </c>
      <c r="G28">
        <v>6.9449023258555291</v>
      </c>
      <c r="H28">
        <v>0.4821484433640687</v>
      </c>
      <c r="I28">
        <v>834.22272064007916</v>
      </c>
      <c r="J28">
        <v>333.40811577693387</v>
      </c>
      <c r="K28">
        <v>3.2185383185525336E-2</v>
      </c>
      <c r="L28">
        <v>159645.23697853609</v>
      </c>
      <c r="M28">
        <v>0.1173736119540586</v>
      </c>
      <c r="N28">
        <v>0.46403063156334212</v>
      </c>
      <c r="O28">
        <v>225.42995189540224</v>
      </c>
      <c r="P28">
        <v>1693.325836016149</v>
      </c>
      <c r="Q28">
        <v>1693.2539435641374</v>
      </c>
    </row>
    <row r="29" spans="1:17" x14ac:dyDescent="0.3">
      <c r="A29">
        <v>28</v>
      </c>
      <c r="B29">
        <v>1.1874248217972829</v>
      </c>
      <c r="C29">
        <v>292.3153354787367</v>
      </c>
      <c r="D29">
        <v>39.127939244574542</v>
      </c>
      <c r="E29">
        <v>9.9379025457694489E-2</v>
      </c>
      <c r="F29">
        <v>100000</v>
      </c>
      <c r="G29">
        <v>5.1355995610793821</v>
      </c>
      <c r="H29">
        <v>0.48768300505385026</v>
      </c>
      <c r="I29">
        <v>780.15998387298544</v>
      </c>
      <c r="J29">
        <v>312.83128628366512</v>
      </c>
      <c r="K29">
        <v>1.8054631499051246E-2</v>
      </c>
      <c r="L29">
        <v>155399.11255698398</v>
      </c>
      <c r="M29">
        <v>0.12174575194575145</v>
      </c>
      <c r="N29">
        <v>0.59021670383432701</v>
      </c>
      <c r="O29">
        <v>229.93075483204041</v>
      </c>
      <c r="P29">
        <v>1387.5620612159182</v>
      </c>
      <c r="Q29">
        <v>1387.4749608434504</v>
      </c>
    </row>
    <row r="30" spans="1:17" x14ac:dyDescent="0.3">
      <c r="A30">
        <v>29</v>
      </c>
      <c r="B30">
        <v>1.1822596563843559</v>
      </c>
      <c r="C30">
        <v>290.52976855858702</v>
      </c>
      <c r="D30">
        <v>50.901984208771253</v>
      </c>
      <c r="E30">
        <v>8.2247720754658818E-2</v>
      </c>
      <c r="F30">
        <v>100000</v>
      </c>
      <c r="G30">
        <v>3.4894544781100754</v>
      </c>
      <c r="H30">
        <v>0.48220518849797239</v>
      </c>
      <c r="I30">
        <v>796.27126818892498</v>
      </c>
      <c r="J30">
        <v>289.88215537812476</v>
      </c>
      <c r="K30">
        <v>5.4393787298488552E-2</v>
      </c>
      <c r="L30">
        <v>144739.52261839234</v>
      </c>
      <c r="M30">
        <v>0.10046345821613198</v>
      </c>
      <c r="N30">
        <v>0.57012080017709965</v>
      </c>
      <c r="O30">
        <v>236.06702878149272</v>
      </c>
      <c r="P30">
        <v>1183.7820914878321</v>
      </c>
      <c r="Q30">
        <v>1183.5274694865802</v>
      </c>
    </row>
    <row r="31" spans="1:17" x14ac:dyDescent="0.3">
      <c r="A31">
        <v>30</v>
      </c>
      <c r="B31">
        <v>1.1816712139682854</v>
      </c>
      <c r="C31">
        <v>291.20596849980427</v>
      </c>
      <c r="D31">
        <v>39.824842562255391</v>
      </c>
      <c r="E31">
        <v>0.11493359087726635</v>
      </c>
      <c r="F31">
        <v>100000</v>
      </c>
      <c r="G31">
        <v>4.5690088892961001</v>
      </c>
      <c r="H31">
        <v>0.48896651923643142</v>
      </c>
      <c r="I31">
        <v>805.33089656869765</v>
      </c>
      <c r="J31">
        <v>387.51678630079618</v>
      </c>
      <c r="K31">
        <v>3.1812024219931706E-2</v>
      </c>
      <c r="L31">
        <v>165791.71682959312</v>
      </c>
      <c r="M31">
        <v>0.11859838249777759</v>
      </c>
      <c r="N31">
        <v>0.55609199480772942</v>
      </c>
      <c r="O31">
        <v>215.25731955449476</v>
      </c>
      <c r="P31">
        <v>1746.2302158651219</v>
      </c>
      <c r="Q31">
        <v>1745.8430527213495</v>
      </c>
    </row>
    <row r="32" spans="1:17" x14ac:dyDescent="0.3">
      <c r="A32">
        <v>31</v>
      </c>
      <c r="B32">
        <v>1.1837039216684568</v>
      </c>
      <c r="C32">
        <v>291.69998509905719</v>
      </c>
      <c r="D32">
        <v>53.273929829312962</v>
      </c>
      <c r="E32">
        <v>0.10302386411025102</v>
      </c>
      <c r="F32">
        <v>100000</v>
      </c>
      <c r="G32">
        <v>3.4340819164508769</v>
      </c>
      <c r="H32">
        <v>0.48444634860704505</v>
      </c>
      <c r="I32">
        <v>809.03865469197819</v>
      </c>
      <c r="J32">
        <v>345.1192939569591</v>
      </c>
      <c r="K32">
        <v>5.6396984582219103E-2</v>
      </c>
      <c r="L32">
        <v>161047.33416335963</v>
      </c>
      <c r="M32">
        <v>8.8712430225637628E-2</v>
      </c>
      <c r="N32">
        <v>0.5489035613038018</v>
      </c>
      <c r="O32">
        <v>215.61975848473568</v>
      </c>
      <c r="P32">
        <v>1572.7842803352323</v>
      </c>
      <c r="Q32">
        <v>1572.5409446803387</v>
      </c>
    </row>
    <row r="33" spans="1:17" x14ac:dyDescent="0.3">
      <c r="A33">
        <v>32</v>
      </c>
      <c r="B33">
        <v>1.1853315150934594</v>
      </c>
      <c r="C33">
        <v>289.99502985822949</v>
      </c>
      <c r="D33">
        <v>44.465727527888681</v>
      </c>
      <c r="E33">
        <v>9.9622962051842207E-2</v>
      </c>
      <c r="F33">
        <v>100000</v>
      </c>
      <c r="G33">
        <v>1.7799607829595907</v>
      </c>
      <c r="H33">
        <v>0.49160732001541896</v>
      </c>
      <c r="I33">
        <v>798.58424618542153</v>
      </c>
      <c r="J33">
        <v>242.82809815595334</v>
      </c>
      <c r="K33">
        <v>6.3456481022113986E-2</v>
      </c>
      <c r="L33">
        <v>148206.98810488076</v>
      </c>
      <c r="M33">
        <v>9.7332170647366031E-2</v>
      </c>
      <c r="N33">
        <v>0.55237192162139881</v>
      </c>
      <c r="O33">
        <v>216.90821388502732</v>
      </c>
      <c r="P33">
        <v>1063.1665795085064</v>
      </c>
      <c r="Q33">
        <v>1063.1307941480773</v>
      </c>
    </row>
    <row r="34" spans="1:17" x14ac:dyDescent="0.3">
      <c r="A34">
        <v>33</v>
      </c>
      <c r="B34">
        <v>1.1887983043743142</v>
      </c>
      <c r="C34">
        <v>290.12955374757934</v>
      </c>
      <c r="D34">
        <v>25.649635396762296</v>
      </c>
      <c r="E34">
        <v>0.1016281684802893</v>
      </c>
      <c r="F34">
        <v>100000</v>
      </c>
      <c r="G34">
        <v>1.7891079473984557</v>
      </c>
      <c r="H34">
        <v>0.49081209082990179</v>
      </c>
      <c r="I34">
        <v>797.77529671226398</v>
      </c>
      <c r="J34">
        <v>390.1339377257483</v>
      </c>
      <c r="K34">
        <v>3.3892030790395766E-2</v>
      </c>
      <c r="L34">
        <v>159224.16454496089</v>
      </c>
      <c r="M34">
        <v>9.2618886853517338E-2</v>
      </c>
      <c r="N34">
        <v>0.55633593962389183</v>
      </c>
      <c r="O34">
        <v>229.51410393958662</v>
      </c>
      <c r="P34">
        <v>1498.4706974974179</v>
      </c>
      <c r="Q34">
        <v>1498.316906197113</v>
      </c>
    </row>
    <row r="35" spans="1:17" x14ac:dyDescent="0.3">
      <c r="A35">
        <v>34</v>
      </c>
      <c r="B35">
        <v>1.1825137553524987</v>
      </c>
      <c r="C35">
        <v>292.21826781003557</v>
      </c>
      <c r="D35">
        <v>50.025210569530529</v>
      </c>
      <c r="E35">
        <v>9.4952608714876499E-2</v>
      </c>
      <c r="F35">
        <v>100000</v>
      </c>
      <c r="G35">
        <v>2.6286645166677052</v>
      </c>
      <c r="H35">
        <v>0.48339653645444342</v>
      </c>
      <c r="I35">
        <v>797.02640395711626</v>
      </c>
      <c r="J35">
        <v>368.518546764532</v>
      </c>
      <c r="K35">
        <v>5.7215031318635604E-2</v>
      </c>
      <c r="L35">
        <v>169963.81155743758</v>
      </c>
      <c r="M35">
        <v>9.9261158314756792E-2</v>
      </c>
      <c r="N35">
        <v>0.50131274744453003</v>
      </c>
      <c r="O35">
        <v>233.09271268824932</v>
      </c>
      <c r="P35">
        <v>1553.9610215500506</v>
      </c>
      <c r="Q35">
        <v>1553.8365745248739</v>
      </c>
    </row>
    <row r="36" spans="1:17" x14ac:dyDescent="0.3">
      <c r="A36">
        <v>35</v>
      </c>
      <c r="B36">
        <v>1.1826837629542521</v>
      </c>
      <c r="C36">
        <v>291.78942040019996</v>
      </c>
      <c r="D36">
        <v>47.567088503219267</v>
      </c>
      <c r="E36">
        <v>9.0769074331067914E-2</v>
      </c>
      <c r="F36">
        <v>100000</v>
      </c>
      <c r="G36">
        <v>5.5760891482125086</v>
      </c>
      <c r="H36">
        <v>0.49129626298532675</v>
      </c>
      <c r="I36">
        <v>786.96717642514761</v>
      </c>
      <c r="J36">
        <v>248.01638633029575</v>
      </c>
      <c r="K36">
        <v>4.2739846348682602E-2</v>
      </c>
      <c r="L36">
        <v>150800.56657912294</v>
      </c>
      <c r="M36">
        <v>0.11543141489675825</v>
      </c>
      <c r="N36">
        <v>0.55589906377864096</v>
      </c>
      <c r="O36">
        <v>235.93033024104633</v>
      </c>
      <c r="P36">
        <v>1201.5651261323874</v>
      </c>
      <c r="Q36">
        <v>1201.4103408162482</v>
      </c>
    </row>
    <row r="37" spans="1:17" x14ac:dyDescent="0.3">
      <c r="A37">
        <v>36</v>
      </c>
      <c r="B37">
        <v>1.1827818601618114</v>
      </c>
      <c r="C37">
        <v>291.96167966268757</v>
      </c>
      <c r="D37">
        <v>29.120998034668499</v>
      </c>
      <c r="E37">
        <v>0.10645428566384479</v>
      </c>
      <c r="F37">
        <v>100000</v>
      </c>
      <c r="G37">
        <v>5.6993814236317304</v>
      </c>
      <c r="H37">
        <v>0.48810121806552476</v>
      </c>
      <c r="I37">
        <v>796.22323955268109</v>
      </c>
      <c r="J37">
        <v>363.91367550387372</v>
      </c>
      <c r="K37">
        <v>5.1512350678393097E-2</v>
      </c>
      <c r="L37">
        <v>170617.57658095221</v>
      </c>
      <c r="M37">
        <v>0.11205970607638573</v>
      </c>
      <c r="N37">
        <v>0.52990502593819744</v>
      </c>
      <c r="O37">
        <v>222.30840142336879</v>
      </c>
      <c r="P37">
        <v>1636.6928523033785</v>
      </c>
      <c r="Q37">
        <v>1636.6393634597189</v>
      </c>
    </row>
    <row r="38" spans="1:17" x14ac:dyDescent="0.3">
      <c r="A38">
        <v>37</v>
      </c>
      <c r="B38">
        <v>1.1829230642964457</v>
      </c>
      <c r="C38">
        <v>290.67690898495812</v>
      </c>
      <c r="D38">
        <v>47.300643165102272</v>
      </c>
      <c r="E38">
        <v>0.1022549605344994</v>
      </c>
      <c r="F38">
        <v>100000</v>
      </c>
      <c r="G38">
        <v>4.7280701981334019</v>
      </c>
      <c r="H38">
        <v>0.47968033793476728</v>
      </c>
      <c r="I38">
        <v>793.09901016327331</v>
      </c>
      <c r="J38">
        <v>340.61153615474478</v>
      </c>
      <c r="K38">
        <v>3.9058325867399539E-2</v>
      </c>
      <c r="L38">
        <v>164696.46918308284</v>
      </c>
      <c r="M38">
        <v>0.1067269447963356</v>
      </c>
      <c r="N38">
        <v>0.512419089634786</v>
      </c>
      <c r="O38">
        <v>226.45528055756748</v>
      </c>
      <c r="P38">
        <v>1654.4016894780143</v>
      </c>
      <c r="Q38">
        <v>1654.1728852766682</v>
      </c>
    </row>
    <row r="39" spans="1:17" x14ac:dyDescent="0.3">
      <c r="A39">
        <v>38</v>
      </c>
      <c r="B39">
        <v>1.1872927311071801</v>
      </c>
      <c r="C39">
        <v>290.84719285901906</v>
      </c>
      <c r="D39">
        <v>42.935003297203664</v>
      </c>
      <c r="E39">
        <v>9.4241178971364567E-2</v>
      </c>
      <c r="F39">
        <v>100000</v>
      </c>
      <c r="G39">
        <v>5.4436735700576486</v>
      </c>
      <c r="H39">
        <v>0.48674696353323677</v>
      </c>
      <c r="I39">
        <v>806.2707214966116</v>
      </c>
      <c r="J39">
        <v>385.97221270388957</v>
      </c>
      <c r="K39">
        <v>4.9608329594061605E-2</v>
      </c>
      <c r="L39">
        <v>154545.5120654646</v>
      </c>
      <c r="M39">
        <v>9.7580004574298246E-2</v>
      </c>
      <c r="N39">
        <v>0.53677039714905472</v>
      </c>
      <c r="O39">
        <v>231.20428264317587</v>
      </c>
      <c r="P39">
        <v>1729.9907068291723</v>
      </c>
      <c r="Q39">
        <v>1729.8890898557147</v>
      </c>
    </row>
    <row r="40" spans="1:17" x14ac:dyDescent="0.3">
      <c r="A40">
        <v>39</v>
      </c>
      <c r="B40">
        <v>1.185111782490432</v>
      </c>
      <c r="C40">
        <v>291.82701522341154</v>
      </c>
      <c r="D40">
        <v>31.623066738730586</v>
      </c>
      <c r="E40">
        <v>9.5847172887876822E-2</v>
      </c>
      <c r="F40">
        <v>100000</v>
      </c>
      <c r="G40">
        <v>2.6375471810802842</v>
      </c>
      <c r="H40">
        <v>0.47960261039357049</v>
      </c>
      <c r="I40">
        <v>802.7191915937351</v>
      </c>
      <c r="J40">
        <v>300.99876491682954</v>
      </c>
      <c r="K40">
        <v>4.1586963608203555E-2</v>
      </c>
      <c r="L40">
        <v>158648.17618875444</v>
      </c>
      <c r="M40">
        <v>0.10941923984294738</v>
      </c>
      <c r="N40">
        <v>0.53351175656686378</v>
      </c>
      <c r="O40">
        <v>225.83714162877354</v>
      </c>
      <c r="P40">
        <v>1232.5516146122754</v>
      </c>
      <c r="Q40">
        <v>1232.5694098061067</v>
      </c>
    </row>
    <row r="41" spans="1:17" x14ac:dyDescent="0.3">
      <c r="A41">
        <v>40</v>
      </c>
      <c r="B41">
        <v>1.1830353128235591</v>
      </c>
      <c r="C41">
        <v>290.59067002198708</v>
      </c>
      <c r="D41">
        <v>37.902030309110586</v>
      </c>
      <c r="E41">
        <v>9.9477505209657646E-2</v>
      </c>
      <c r="F41">
        <v>100000</v>
      </c>
      <c r="G41">
        <v>2.9933045781587033</v>
      </c>
      <c r="H41">
        <v>0.484165682867785</v>
      </c>
      <c r="I41">
        <v>808.86121297364832</v>
      </c>
      <c r="J41">
        <v>248.39505898059159</v>
      </c>
      <c r="K41">
        <v>4.7748547687613489E-2</v>
      </c>
      <c r="L41">
        <v>154870.84920712697</v>
      </c>
      <c r="M41">
        <v>0.11340736758429143</v>
      </c>
      <c r="N41">
        <v>0.51855574788572611</v>
      </c>
      <c r="O41">
        <v>228.06926272819462</v>
      </c>
      <c r="P41">
        <v>1151.4305541862777</v>
      </c>
      <c r="Q41">
        <v>1151.5391932375496</v>
      </c>
    </row>
    <row r="42" spans="1:17" x14ac:dyDescent="0.3">
      <c r="A42">
        <v>41</v>
      </c>
      <c r="B42">
        <v>1.1869766889967901</v>
      </c>
      <c r="C42">
        <v>290.0235473706191</v>
      </c>
      <c r="D42">
        <v>29.417434009077549</v>
      </c>
      <c r="E42">
        <v>0.10158789381132523</v>
      </c>
      <c r="F42">
        <v>100000</v>
      </c>
      <c r="G42">
        <v>5.5806560039015238</v>
      </c>
      <c r="H42">
        <v>0.48985361599906913</v>
      </c>
      <c r="I42">
        <v>788.70948875204601</v>
      </c>
      <c r="J42">
        <v>292.91826988348481</v>
      </c>
      <c r="K42">
        <v>6.1265248387094809E-2</v>
      </c>
      <c r="L42">
        <v>149034.77522756814</v>
      </c>
      <c r="M42">
        <v>0.10539737366312664</v>
      </c>
      <c r="N42">
        <v>0.52710752612830247</v>
      </c>
      <c r="O42">
        <v>226.46841226066672</v>
      </c>
      <c r="P42">
        <v>1414.8742327828004</v>
      </c>
      <c r="Q42">
        <v>1414.8965438923333</v>
      </c>
    </row>
    <row r="43" spans="1:17" x14ac:dyDescent="0.3">
      <c r="A43">
        <v>42</v>
      </c>
      <c r="B43">
        <v>1.1830898236718601</v>
      </c>
      <c r="C43">
        <v>291.78690733155673</v>
      </c>
      <c r="D43">
        <v>35.177283754190171</v>
      </c>
      <c r="E43">
        <v>0.10185471843018126</v>
      </c>
      <c r="F43">
        <v>100000</v>
      </c>
      <c r="G43">
        <v>5.4397081032452261</v>
      </c>
      <c r="H43">
        <v>0.48205674462971831</v>
      </c>
      <c r="I43">
        <v>798.01577811377695</v>
      </c>
      <c r="J43">
        <v>310.73886445858875</v>
      </c>
      <c r="K43">
        <v>4.6692273858176009E-2</v>
      </c>
      <c r="L43">
        <v>157269.67646735269</v>
      </c>
      <c r="M43">
        <v>9.9240177794513995E-2</v>
      </c>
      <c r="N43">
        <v>0.52454075850800741</v>
      </c>
      <c r="O43">
        <v>230.82939628775731</v>
      </c>
      <c r="P43">
        <v>1431.0796292925297</v>
      </c>
      <c r="Q43">
        <v>1431.0606284913374</v>
      </c>
    </row>
    <row r="44" spans="1:17" x14ac:dyDescent="0.3">
      <c r="A44">
        <v>43</v>
      </c>
      <c r="B44">
        <v>1.1841388125730323</v>
      </c>
      <c r="C44">
        <v>290.50070897780597</v>
      </c>
      <c r="D44">
        <v>45.83272025435501</v>
      </c>
      <c r="E44">
        <v>0.10000582576110047</v>
      </c>
      <c r="F44">
        <v>100000</v>
      </c>
      <c r="G44">
        <v>5.3077791277816821</v>
      </c>
      <c r="H44">
        <v>0.4854435073470203</v>
      </c>
      <c r="I44">
        <v>800.54172870123955</v>
      </c>
      <c r="J44">
        <v>343.18694026096568</v>
      </c>
      <c r="K44">
        <v>4.3486920636574708E-2</v>
      </c>
      <c r="L44">
        <v>154732.35242059655</v>
      </c>
      <c r="M44">
        <v>9.8181893369608503E-2</v>
      </c>
      <c r="N44">
        <v>0.50538960846967229</v>
      </c>
      <c r="O44">
        <v>233.9462871688394</v>
      </c>
      <c r="P44">
        <v>1605.269539738707</v>
      </c>
      <c r="Q44">
        <v>1605.2589059823658</v>
      </c>
    </row>
    <row r="45" spans="1:17" x14ac:dyDescent="0.3">
      <c r="A45">
        <v>44</v>
      </c>
      <c r="B45">
        <v>1.1826803690941177</v>
      </c>
      <c r="C45">
        <v>291.91720223137287</v>
      </c>
      <c r="D45">
        <v>31.246225583163749</v>
      </c>
      <c r="E45">
        <v>9.4007363637526292E-2</v>
      </c>
      <c r="F45">
        <v>100000</v>
      </c>
      <c r="G45">
        <v>2.8785597318165737</v>
      </c>
      <c r="H45">
        <v>0.47999661784055148</v>
      </c>
      <c r="I45">
        <v>793.10011292898935</v>
      </c>
      <c r="J45">
        <v>358.44529659058776</v>
      </c>
      <c r="K45">
        <v>3.9031360535332217E-2</v>
      </c>
      <c r="L45">
        <v>167966.18928001463</v>
      </c>
      <c r="M45">
        <v>0.10425924328557352</v>
      </c>
      <c r="N45">
        <v>0.53180790695988112</v>
      </c>
      <c r="O45">
        <v>225.87612576418184</v>
      </c>
      <c r="P45">
        <v>1450.1793578652942</v>
      </c>
      <c r="Q45">
        <v>1450.0339570820797</v>
      </c>
    </row>
    <row r="46" spans="1:17" x14ac:dyDescent="0.3">
      <c r="A46">
        <v>45</v>
      </c>
      <c r="B46">
        <v>1.1857534489337771</v>
      </c>
      <c r="C46">
        <v>290.0841635523131</v>
      </c>
      <c r="D46">
        <v>32.088283011919749</v>
      </c>
      <c r="E46">
        <v>9.9028248046046652E-2</v>
      </c>
      <c r="F46">
        <v>100000</v>
      </c>
      <c r="G46">
        <v>3.5476475060874328</v>
      </c>
      <c r="H46">
        <v>0.48725903838281992</v>
      </c>
      <c r="I46">
        <v>788.8163854808937</v>
      </c>
      <c r="J46">
        <v>372.91590789227405</v>
      </c>
      <c r="K46">
        <v>4.3668050256914559E-2</v>
      </c>
      <c r="L46">
        <v>164921.1089575915</v>
      </c>
      <c r="M46">
        <v>0.10925503144567542</v>
      </c>
      <c r="N46">
        <v>0.51282510120447389</v>
      </c>
      <c r="O46">
        <v>225.9178491556728</v>
      </c>
      <c r="P46">
        <v>1621.6673645483606</v>
      </c>
      <c r="Q46">
        <v>1621.3655910952948</v>
      </c>
    </row>
    <row r="47" spans="1:17" x14ac:dyDescent="0.3">
      <c r="A47">
        <v>46</v>
      </c>
      <c r="B47">
        <v>1.1842351937687596</v>
      </c>
      <c r="C47">
        <v>290.20417724977733</v>
      </c>
      <c r="D47">
        <v>41.138876345579718</v>
      </c>
      <c r="E47">
        <v>9.4094464303609363E-2</v>
      </c>
      <c r="F47">
        <v>100000</v>
      </c>
      <c r="G47">
        <v>4.7817726025707969</v>
      </c>
      <c r="H47">
        <v>0.48514582706319043</v>
      </c>
      <c r="I47">
        <v>807.95803692782329</v>
      </c>
      <c r="J47">
        <v>363.38852224455445</v>
      </c>
      <c r="K47">
        <v>4.7505795508652415E-2</v>
      </c>
      <c r="L47">
        <v>168527.28713077406</v>
      </c>
      <c r="M47">
        <v>0.10635992502547245</v>
      </c>
      <c r="N47">
        <v>0.52429896246273899</v>
      </c>
      <c r="O47">
        <v>227.24830973446223</v>
      </c>
      <c r="P47">
        <v>1736.6673217146235</v>
      </c>
      <c r="Q47">
        <v>1736.3297865206841</v>
      </c>
    </row>
    <row r="48" spans="1:17" x14ac:dyDescent="0.3">
      <c r="A48">
        <v>47</v>
      </c>
      <c r="B48">
        <v>1.1841763029494066</v>
      </c>
      <c r="C48">
        <v>290.27844074056986</v>
      </c>
      <c r="D48">
        <v>41.314779339696628</v>
      </c>
      <c r="E48">
        <v>9.905447222527336E-2</v>
      </c>
      <c r="F48">
        <v>100000</v>
      </c>
      <c r="G48">
        <v>3.0407667096714475</v>
      </c>
      <c r="H48">
        <v>0.48929114374752702</v>
      </c>
      <c r="I48">
        <v>794.38829889069518</v>
      </c>
      <c r="J48">
        <v>332.05755393872619</v>
      </c>
      <c r="K48">
        <v>5.4421175754162734E-2</v>
      </c>
      <c r="L48">
        <v>155536.47067642637</v>
      </c>
      <c r="M48">
        <v>0.10460653010577602</v>
      </c>
      <c r="N48">
        <v>0.52574594605488389</v>
      </c>
      <c r="O48">
        <v>229.55107298883505</v>
      </c>
      <c r="P48">
        <v>1436.5738962757678</v>
      </c>
      <c r="Q48">
        <v>1436.6075621636119</v>
      </c>
    </row>
    <row r="49" spans="1:17" x14ac:dyDescent="0.3">
      <c r="A49">
        <v>48</v>
      </c>
      <c r="B49">
        <v>1.1839969905188263</v>
      </c>
      <c r="C49">
        <v>290.51168852511518</v>
      </c>
      <c r="D49">
        <v>42.243811742341734</v>
      </c>
      <c r="E49">
        <v>9.9784281463172628E-2</v>
      </c>
      <c r="F49">
        <v>100000</v>
      </c>
      <c r="G49">
        <v>4.7302119070458266</v>
      </c>
      <c r="H49">
        <v>0.48004133298338225</v>
      </c>
      <c r="I49">
        <v>808.26752888793817</v>
      </c>
      <c r="J49">
        <v>297.06176666576494</v>
      </c>
      <c r="K49">
        <v>5.8663488346134232E-2</v>
      </c>
      <c r="L49">
        <v>163279.43423280615</v>
      </c>
      <c r="M49">
        <v>0.1057832013123914</v>
      </c>
      <c r="N49">
        <v>0.51037245595634262</v>
      </c>
      <c r="O49">
        <v>229.68377611746106</v>
      </c>
      <c r="P49">
        <v>1502.1489992306379</v>
      </c>
      <c r="Q49">
        <v>1502.0763502739719</v>
      </c>
    </row>
    <row r="50" spans="1:17" x14ac:dyDescent="0.3">
      <c r="A50">
        <v>49</v>
      </c>
      <c r="B50">
        <v>1.1855770553826048</v>
      </c>
      <c r="C50">
        <v>291.54936185486235</v>
      </c>
      <c r="D50">
        <v>41.949279267618216</v>
      </c>
      <c r="E50">
        <v>9.6116186056914618E-2</v>
      </c>
      <c r="F50">
        <v>100000</v>
      </c>
      <c r="G50">
        <v>4.8019210769434544</v>
      </c>
      <c r="H50">
        <v>0.4800961263809102</v>
      </c>
      <c r="I50">
        <v>792.97022591369944</v>
      </c>
      <c r="J50">
        <v>372.70768926802134</v>
      </c>
      <c r="K50">
        <v>4.1523001390772779E-2</v>
      </c>
      <c r="L50">
        <v>155179.18124556763</v>
      </c>
      <c r="M50">
        <v>0.10727329099900246</v>
      </c>
      <c r="N50">
        <v>0.52174924519898602</v>
      </c>
      <c r="O50">
        <v>231.36094110772473</v>
      </c>
      <c r="P50">
        <v>1603.5885452179282</v>
      </c>
      <c r="Q50">
        <v>1603.505049046129</v>
      </c>
    </row>
    <row r="51" spans="1:17" x14ac:dyDescent="0.3">
      <c r="A51">
        <v>50</v>
      </c>
      <c r="B51">
        <v>1.1867391010655428</v>
      </c>
      <c r="C51">
        <v>290.84770778093809</v>
      </c>
      <c r="D51">
        <v>41.100420900968516</v>
      </c>
      <c r="E51">
        <v>9.4412061947689196E-2</v>
      </c>
      <c r="F51">
        <v>100000</v>
      </c>
      <c r="G51">
        <v>4.3761999261814015</v>
      </c>
      <c r="H51">
        <v>0.48330496089380109</v>
      </c>
      <c r="I51">
        <v>800.99975514096184</v>
      </c>
      <c r="J51">
        <v>302.96139216104365</v>
      </c>
      <c r="K51">
        <v>4.6709532983626768E-2</v>
      </c>
      <c r="L51">
        <v>166766.13801479319</v>
      </c>
      <c r="M51">
        <v>0.10440863122572769</v>
      </c>
      <c r="N51">
        <v>0.53049308843471332</v>
      </c>
      <c r="O51">
        <v>229.40494189152528</v>
      </c>
      <c r="P51">
        <v>1497.7934504625664</v>
      </c>
      <c r="Q51">
        <v>1497.7064023776911</v>
      </c>
    </row>
    <row r="52" spans="1:17" x14ac:dyDescent="0.3">
      <c r="A52">
        <v>51</v>
      </c>
      <c r="B52">
        <v>1.1870464103747846</v>
      </c>
      <c r="C52">
        <v>290.22357688612101</v>
      </c>
      <c r="D52">
        <v>32.695466049090491</v>
      </c>
      <c r="E52">
        <v>9.9008751392579392E-2</v>
      </c>
      <c r="F52">
        <v>100000</v>
      </c>
      <c r="G52">
        <v>3.7002969622742872</v>
      </c>
      <c r="H52">
        <v>0.4887805145052076</v>
      </c>
      <c r="I52">
        <v>805.05636380969213</v>
      </c>
      <c r="J52">
        <v>329.80270735841611</v>
      </c>
      <c r="K52">
        <v>4.801509355449967E-2</v>
      </c>
      <c r="L52">
        <v>155514.42473651766</v>
      </c>
      <c r="M52">
        <v>0.1058522475296771</v>
      </c>
      <c r="N52">
        <v>0.51242302114556815</v>
      </c>
      <c r="O52">
        <v>227.01566385598016</v>
      </c>
      <c r="P52">
        <v>1456.8084740338891</v>
      </c>
      <c r="Q52">
        <v>1456.8487721788697</v>
      </c>
    </row>
    <row r="53" spans="1:17" x14ac:dyDescent="0.3">
      <c r="A53">
        <v>52</v>
      </c>
      <c r="B53">
        <v>1.1856199881393736</v>
      </c>
      <c r="C53">
        <v>290.47484811468985</v>
      </c>
      <c r="D53">
        <v>39.232710484223418</v>
      </c>
      <c r="E53">
        <v>9.5577383531499416E-2</v>
      </c>
      <c r="F53">
        <v>100000</v>
      </c>
      <c r="G53">
        <v>3.2327850229315636</v>
      </c>
      <c r="H53">
        <v>0.48726221587190049</v>
      </c>
      <c r="I53">
        <v>798.3167268978118</v>
      </c>
      <c r="J53">
        <v>301.54399409122584</v>
      </c>
      <c r="K53">
        <v>4.7956804446013725E-2</v>
      </c>
      <c r="L53">
        <v>158596.12041252706</v>
      </c>
      <c r="M53">
        <v>0.10384985339309792</v>
      </c>
      <c r="N53">
        <v>0.52854805954770712</v>
      </c>
      <c r="O53">
        <v>226.95338602090402</v>
      </c>
      <c r="P53">
        <v>1373.8940815548922</v>
      </c>
      <c r="Q53">
        <v>1373.8852368296357</v>
      </c>
    </row>
    <row r="54" spans="1:17" x14ac:dyDescent="0.3">
      <c r="A54">
        <v>53</v>
      </c>
      <c r="B54">
        <v>1.1838293033943352</v>
      </c>
      <c r="C54">
        <v>290.80770057379868</v>
      </c>
      <c r="D54">
        <v>38.005181950046698</v>
      </c>
      <c r="E54">
        <v>9.3194112630156326E-2</v>
      </c>
      <c r="F54">
        <v>100000</v>
      </c>
      <c r="G54">
        <v>3.732504022608683</v>
      </c>
      <c r="H54">
        <v>0.48817203094400974</v>
      </c>
      <c r="I54">
        <v>790.95284102035862</v>
      </c>
      <c r="J54">
        <v>302.95694932011833</v>
      </c>
      <c r="K54">
        <v>4.3462863644308292E-2</v>
      </c>
      <c r="L54">
        <v>166231.29488071662</v>
      </c>
      <c r="M54">
        <v>0.10448890625593517</v>
      </c>
      <c r="N54">
        <v>0.52475128863284837</v>
      </c>
      <c r="O54">
        <v>230.18030349894772</v>
      </c>
      <c r="P54">
        <v>1431.663008728814</v>
      </c>
      <c r="Q54">
        <v>1431.6111452112673</v>
      </c>
    </row>
    <row r="55" spans="1:17" x14ac:dyDescent="0.3">
      <c r="A55">
        <v>54</v>
      </c>
      <c r="B55">
        <v>1.1847706599581183</v>
      </c>
      <c r="C55">
        <v>291.30020378406692</v>
      </c>
      <c r="D55">
        <v>40.566697071274987</v>
      </c>
      <c r="E55">
        <v>9.2664736197040173E-2</v>
      </c>
      <c r="F55">
        <v>100000</v>
      </c>
      <c r="G55">
        <v>4.674194748345684</v>
      </c>
      <c r="H55">
        <v>0.48061953636868793</v>
      </c>
      <c r="I55">
        <v>802.05496963422922</v>
      </c>
      <c r="J55">
        <v>364.32274868783804</v>
      </c>
      <c r="K55">
        <v>5.6689317314813123E-2</v>
      </c>
      <c r="L55">
        <v>156359.34260340268</v>
      </c>
      <c r="M55">
        <v>0.10681913188817137</v>
      </c>
      <c r="N55">
        <v>0.5261682485586392</v>
      </c>
      <c r="O55">
        <v>228.19439659883705</v>
      </c>
      <c r="P55">
        <v>1599.2979587343798</v>
      </c>
      <c r="Q55">
        <v>1599.1758983874461</v>
      </c>
    </row>
    <row r="56" spans="1:17" x14ac:dyDescent="0.3">
      <c r="A56">
        <v>55</v>
      </c>
      <c r="B56">
        <v>1.1853984275808076</v>
      </c>
      <c r="C56">
        <v>290.45754940099738</v>
      </c>
      <c r="D56">
        <v>38.817505183373882</v>
      </c>
      <c r="E56">
        <v>9.4416664198918129E-2</v>
      </c>
      <c r="F56">
        <v>100000</v>
      </c>
      <c r="G56">
        <v>3.8126402534353154</v>
      </c>
      <c r="H56">
        <v>0.48800216864497897</v>
      </c>
      <c r="I56">
        <v>804.49891601461957</v>
      </c>
      <c r="J56">
        <v>352.69148332838307</v>
      </c>
      <c r="K56">
        <v>4.2605008938684588E-2</v>
      </c>
      <c r="L56">
        <v>165006.68650057647</v>
      </c>
      <c r="M56">
        <v>0.10720501243139417</v>
      </c>
      <c r="N56">
        <v>0.52487032639588282</v>
      </c>
      <c r="O56">
        <v>227.08332013695053</v>
      </c>
      <c r="P56">
        <v>1601.033326597586</v>
      </c>
      <c r="Q56">
        <v>1600.789110764279</v>
      </c>
    </row>
    <row r="57" spans="1:17" x14ac:dyDescent="0.3">
      <c r="A57">
        <v>56</v>
      </c>
      <c r="B57">
        <v>1.1866542628338048</v>
      </c>
      <c r="C57">
        <v>290.33775505714618</v>
      </c>
      <c r="D57">
        <v>38.043976523282566</v>
      </c>
      <c r="E57">
        <v>9.7659172666860111E-2</v>
      </c>
      <c r="F57">
        <v>100000</v>
      </c>
      <c r="G57">
        <v>3.7984958482894959</v>
      </c>
      <c r="H57">
        <v>0.48822791632994694</v>
      </c>
      <c r="I57">
        <v>791.1349538273314</v>
      </c>
      <c r="J57">
        <v>364.0652135848058</v>
      </c>
      <c r="K57">
        <v>5.429159305338857E-2</v>
      </c>
      <c r="L57">
        <v>166009.62551581167</v>
      </c>
      <c r="M57">
        <v>0.10685320225891637</v>
      </c>
      <c r="N57">
        <v>0.51587754696031984</v>
      </c>
      <c r="O57">
        <v>229.18000872741098</v>
      </c>
      <c r="P57">
        <v>1626.5472300109031</v>
      </c>
      <c r="Q57">
        <v>1626.2772139094886</v>
      </c>
    </row>
    <row r="58" spans="1:17" x14ac:dyDescent="0.3">
      <c r="A58">
        <v>57</v>
      </c>
      <c r="B58">
        <v>1.1845989943015098</v>
      </c>
      <c r="C58">
        <v>290.65853833693836</v>
      </c>
      <c r="D58">
        <v>37.115261626297837</v>
      </c>
      <c r="E58">
        <v>9.6600788981269572E-2</v>
      </c>
      <c r="F58">
        <v>100000</v>
      </c>
      <c r="G58">
        <v>4.1572141171009793</v>
      </c>
      <c r="H58">
        <v>0.48722254793906405</v>
      </c>
      <c r="I58">
        <v>800.09823779040062</v>
      </c>
      <c r="J58">
        <v>357.40154002966398</v>
      </c>
      <c r="K58">
        <v>4.7547776044972401E-2</v>
      </c>
      <c r="L58">
        <v>165913.24427774531</v>
      </c>
      <c r="M58">
        <v>0.10708583579982202</v>
      </c>
      <c r="N58">
        <v>0.52785126940377058</v>
      </c>
      <c r="O58">
        <v>227.20443916543621</v>
      </c>
      <c r="P58">
        <v>1616.6684424464402</v>
      </c>
      <c r="Q58">
        <v>1616.4191008279449</v>
      </c>
    </row>
    <row r="59" spans="1:17" x14ac:dyDescent="0.3">
      <c r="A59">
        <v>58</v>
      </c>
      <c r="B59">
        <v>1.1846116438904937</v>
      </c>
      <c r="C59">
        <v>290.96814966394862</v>
      </c>
      <c r="D59">
        <v>35.998809361059735</v>
      </c>
      <c r="E59">
        <v>9.3634091308436876E-2</v>
      </c>
      <c r="F59">
        <v>100000</v>
      </c>
      <c r="G59">
        <v>4.2249679885689959</v>
      </c>
      <c r="H59">
        <v>0.48166474255195668</v>
      </c>
      <c r="I59">
        <v>797.99835752713318</v>
      </c>
      <c r="J59">
        <v>356.86372246852625</v>
      </c>
      <c r="K59">
        <v>4.7352084731435207E-2</v>
      </c>
      <c r="L59">
        <v>161190.41298442151</v>
      </c>
      <c r="M59">
        <v>0.10414464783863064</v>
      </c>
      <c r="N59">
        <v>0.52218041771642676</v>
      </c>
      <c r="O59">
        <v>227.47148250477966</v>
      </c>
      <c r="P59">
        <v>1572.8270625226942</v>
      </c>
      <c r="Q59">
        <v>1572.6448586648912</v>
      </c>
    </row>
    <row r="60" spans="1:17" x14ac:dyDescent="0.3">
      <c r="A60">
        <v>59</v>
      </c>
      <c r="B60">
        <v>1.1854763055774127</v>
      </c>
      <c r="C60">
        <v>291.15935510823039</v>
      </c>
      <c r="D60">
        <v>37.57249674913988</v>
      </c>
      <c r="E60">
        <v>9.455218596182452E-2</v>
      </c>
      <c r="F60">
        <v>100000</v>
      </c>
      <c r="G60">
        <v>3.6092959349867275</v>
      </c>
      <c r="H60">
        <v>0.48301579650551912</v>
      </c>
      <c r="I60">
        <v>791.85281898463279</v>
      </c>
      <c r="J60">
        <v>307.82462978855472</v>
      </c>
      <c r="K60">
        <v>4.4767189190303001E-2</v>
      </c>
      <c r="L60">
        <v>160867.54331555421</v>
      </c>
      <c r="M60">
        <v>0.1040176305707089</v>
      </c>
      <c r="N60">
        <v>0.52089580248991163</v>
      </c>
      <c r="O60">
        <v>228.57435504211705</v>
      </c>
      <c r="P60">
        <v>1381.0783917584267</v>
      </c>
      <c r="Q60">
        <v>1381.0483529370977</v>
      </c>
    </row>
    <row r="61" spans="1:17" x14ac:dyDescent="0.3">
      <c r="A61">
        <v>60</v>
      </c>
      <c r="B61">
        <v>1.1854763055774127</v>
      </c>
      <c r="C61">
        <v>291.15935510823039</v>
      </c>
      <c r="D61">
        <v>37.57249674913988</v>
      </c>
      <c r="E61">
        <v>9.455218596182452E-2</v>
      </c>
      <c r="F61">
        <v>100000</v>
      </c>
      <c r="G61">
        <v>3.6092959349867275</v>
      </c>
      <c r="H61">
        <v>0.48301579650551912</v>
      </c>
      <c r="I61">
        <v>791.85281898463279</v>
      </c>
      <c r="J61">
        <v>307.82462978855472</v>
      </c>
      <c r="K61">
        <v>4.4767189190303001E-2</v>
      </c>
      <c r="L61">
        <v>160867.54331555421</v>
      </c>
      <c r="M61">
        <v>0.1040176305707089</v>
      </c>
      <c r="N61">
        <v>0.52089580248991163</v>
      </c>
      <c r="O61">
        <v>228.57435504211705</v>
      </c>
      <c r="P61">
        <v>1381.0783917584267</v>
      </c>
      <c r="Q61">
        <v>1381.0483529370977</v>
      </c>
    </row>
  </sheetData>
  <printOptions horizontalCentered="1"/>
  <pageMargins left="0.51181102362204722" right="0.51181102362204722" top="0.78740157480314965" bottom="0.78740157480314965" header="0.31496062992125984" footer="0.31496062992125984"/>
  <pageSetup paperSize="9" scale="85" fitToHeight="4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2"/>
  <dimension ref="A1:R125"/>
  <sheetViews>
    <sheetView zoomScale="145" zoomScaleNormal="145" workbookViewId="0"/>
  </sheetViews>
  <sheetFormatPr defaultColWidth="9.109375" defaultRowHeight="14.4" x14ac:dyDescent="0.3"/>
  <cols>
    <col min="1" max="1" width="15.109375" style="10" bestFit="1" customWidth="1"/>
    <col min="2" max="2" width="13.21875" style="9" bestFit="1" customWidth="1"/>
    <col min="3" max="3" width="6.88671875" style="9" bestFit="1" customWidth="1"/>
    <col min="4" max="4" width="8.44140625" style="9" bestFit="1" customWidth="1"/>
    <col min="5" max="5" width="9" style="9" bestFit="1" customWidth="1"/>
    <col min="6" max="6" width="12.5546875" style="9" bestFit="1" customWidth="1"/>
    <col min="7" max="7" width="13.6640625" style="9" bestFit="1" customWidth="1"/>
    <col min="8" max="8" width="12.88671875" style="9" bestFit="1" customWidth="1"/>
    <col min="9" max="9" width="6.88671875" style="9" bestFit="1" customWidth="1"/>
    <col min="10" max="10" width="8.44140625" style="9" bestFit="1" customWidth="1"/>
    <col min="11" max="11" width="8.6640625" style="9" bestFit="1" customWidth="1"/>
    <col min="12" max="12" width="12.21875" style="9" bestFit="1" customWidth="1"/>
    <col min="13" max="13" width="11.44140625" style="9" bestFit="1" customWidth="1"/>
    <col min="14" max="14" width="5.44140625" style="9" bestFit="1" customWidth="1"/>
    <col min="15" max="15" width="6.88671875" style="9" bestFit="1" customWidth="1"/>
    <col min="16" max="16" width="24.88671875" style="9" bestFit="1" customWidth="1"/>
    <col min="17" max="17" width="19.21875" style="9" bestFit="1" customWidth="1"/>
    <col min="18" max="18" width="9.5546875" style="9" bestFit="1" customWidth="1"/>
    <col min="19" max="21" width="9.109375" style="9"/>
    <col min="22" max="22" width="10.6640625" style="9" bestFit="1" customWidth="1"/>
    <col min="23" max="24" width="14.21875" style="9" bestFit="1" customWidth="1"/>
    <col min="25" max="27" width="14.21875" style="9" customWidth="1"/>
    <col min="28" max="16384" width="9.109375" style="9"/>
  </cols>
  <sheetData>
    <row r="1" spans="1:18" x14ac:dyDescent="0.3">
      <c r="A1" s="10" t="s">
        <v>29</v>
      </c>
      <c r="B1" s="9" t="s">
        <v>30</v>
      </c>
      <c r="C1" s="9" t="s">
        <v>31</v>
      </c>
      <c r="D1" s="9" t="s">
        <v>32</v>
      </c>
      <c r="E1" s="9" t="s">
        <v>33</v>
      </c>
      <c r="F1" s="9" t="s">
        <v>34</v>
      </c>
      <c r="G1" s="9" t="s">
        <v>35</v>
      </c>
      <c r="H1" s="9" t="s">
        <v>36</v>
      </c>
      <c r="I1" s="9" t="s">
        <v>37</v>
      </c>
      <c r="J1" s="9" t="s">
        <v>38</v>
      </c>
      <c r="K1" s="9" t="s">
        <v>39</v>
      </c>
      <c r="L1" s="9" t="s">
        <v>40</v>
      </c>
      <c r="M1" s="9" t="s">
        <v>41</v>
      </c>
      <c r="N1" s="9" t="s">
        <v>42</v>
      </c>
      <c r="O1" s="9" t="s">
        <v>43</v>
      </c>
      <c r="P1" s="9" t="s">
        <v>68</v>
      </c>
      <c r="Q1" s="9" t="s">
        <v>44</v>
      </c>
      <c r="R1" s="9" t="s">
        <v>25</v>
      </c>
    </row>
    <row r="2" spans="1:18" x14ac:dyDescent="0.3">
      <c r="A2" s="10">
        <v>1</v>
      </c>
      <c r="B2" s="9">
        <v>1.1667530292701285</v>
      </c>
      <c r="C2" s="9">
        <v>286.66781485369677</v>
      </c>
      <c r="D2" s="9">
        <v>49.320530346724809</v>
      </c>
      <c r="E2" s="9">
        <v>0.16965971584048542</v>
      </c>
      <c r="F2" s="9">
        <v>100000</v>
      </c>
      <c r="G2" s="9">
        <v>2.295154926737681</v>
      </c>
      <c r="H2" s="9">
        <v>0.4126623629590726</v>
      </c>
      <c r="I2" s="9">
        <v>763.12336098254946</v>
      </c>
      <c r="J2" s="9">
        <v>658.63039850330097</v>
      </c>
      <c r="K2" s="9">
        <v>4.6033458396396595E-2</v>
      </c>
      <c r="L2" s="9">
        <v>192584.85386646137</v>
      </c>
      <c r="M2" s="9">
        <v>0.14992799634844137</v>
      </c>
      <c r="N2" s="9">
        <v>0.78927563588214744</v>
      </c>
      <c r="O2" s="9">
        <v>240.59562282956699</v>
      </c>
      <c r="P2" s="9">
        <v>2540.1111195078629</v>
      </c>
      <c r="Q2" s="9">
        <v>2540.2253641744028</v>
      </c>
      <c r="R2" s="9" t="s">
        <v>28</v>
      </c>
    </row>
    <row r="3" spans="1:18" x14ac:dyDescent="0.3">
      <c r="A3" s="10">
        <v>2</v>
      </c>
      <c r="B3" s="9">
        <v>1.1637387993215749</v>
      </c>
      <c r="C3" s="9">
        <v>290.32608405394734</v>
      </c>
      <c r="D3" s="9">
        <v>76.356998217360712</v>
      </c>
      <c r="E3" s="9">
        <v>0.15408288442378273</v>
      </c>
      <c r="F3" s="9">
        <v>100000</v>
      </c>
      <c r="G3" s="9">
        <v>9.8468249107742398</v>
      </c>
      <c r="H3" s="9">
        <v>0.4045255822862811</v>
      </c>
      <c r="I3" s="9">
        <v>757.44703132454254</v>
      </c>
      <c r="J3" s="9">
        <v>557.67749827552518</v>
      </c>
      <c r="K3" s="9">
        <v>3.6015896098957501E-2</v>
      </c>
      <c r="L3" s="9">
        <v>137362.82880296651</v>
      </c>
      <c r="M3" s="9">
        <v>8.9715847756492551E-2</v>
      </c>
      <c r="N3" s="9">
        <v>0.6519625179348818</v>
      </c>
      <c r="O3" s="9">
        <v>186.19577049529653</v>
      </c>
      <c r="P3" s="9">
        <v>2772.9128895238318</v>
      </c>
      <c r="Q3" s="9">
        <v>2773.2924357432639</v>
      </c>
      <c r="R3" s="9" t="s">
        <v>28</v>
      </c>
    </row>
    <row r="4" spans="1:18" x14ac:dyDescent="0.3">
      <c r="A4" s="10">
        <v>3</v>
      </c>
      <c r="B4" s="9">
        <v>1.2044158756957899</v>
      </c>
      <c r="C4" s="9">
        <v>292.14325950932323</v>
      </c>
      <c r="D4" s="9">
        <v>13.784159862966366</v>
      </c>
      <c r="E4" s="9">
        <v>0.13519853459984163</v>
      </c>
      <c r="F4" s="9">
        <v>100000</v>
      </c>
      <c r="G4" s="9">
        <v>6.4358138575449297</v>
      </c>
      <c r="H4" s="9">
        <v>0.47521773855147065</v>
      </c>
      <c r="I4" s="9">
        <v>859.52565190576479</v>
      </c>
      <c r="J4" s="9">
        <v>517.43981495248045</v>
      </c>
      <c r="K4" s="9">
        <v>1.7006569355698664E-2</v>
      </c>
      <c r="L4" s="9">
        <v>185485.27945778327</v>
      </c>
      <c r="M4" s="9">
        <v>0.16777236757156772</v>
      </c>
      <c r="N4" s="9">
        <v>0.43828899956512724</v>
      </c>
      <c r="O4" s="9">
        <v>239.06278275957965</v>
      </c>
      <c r="P4" s="9">
        <v>1994.1680413612557</v>
      </c>
      <c r="Q4" s="9">
        <v>1994.6721883189748</v>
      </c>
      <c r="R4" s="9" t="s">
        <v>28</v>
      </c>
    </row>
    <row r="5" spans="1:18" x14ac:dyDescent="0.3">
      <c r="A5" s="10">
        <v>4</v>
      </c>
      <c r="B5" s="9">
        <v>1.2018688128286317</v>
      </c>
      <c r="C5" s="9">
        <v>287.61774275795892</v>
      </c>
      <c r="D5" s="9">
        <v>8.6713341362277312</v>
      </c>
      <c r="E5" s="9">
        <v>0.14513980393738357</v>
      </c>
      <c r="F5" s="9">
        <v>100000</v>
      </c>
      <c r="G5" s="9">
        <v>3.9557365545934529</v>
      </c>
      <c r="H5" s="9">
        <v>0.40536326269660922</v>
      </c>
      <c r="I5" s="9">
        <v>746.3217180846417</v>
      </c>
      <c r="J5" s="9">
        <v>210.30805809632758</v>
      </c>
      <c r="K5" s="9">
        <v>7.3861776337964147E-2</v>
      </c>
      <c r="L5" s="9">
        <v>134020.17059652868</v>
      </c>
      <c r="M5" s="9">
        <v>9.2737693283689776E-2</v>
      </c>
      <c r="N5" s="9">
        <v>0.35417266633745054</v>
      </c>
      <c r="O5" s="9">
        <v>224.56427150900089</v>
      </c>
      <c r="P5" s="9">
        <v>941.24542910436139</v>
      </c>
      <c r="Q5" s="9">
        <v>940.95918836281635</v>
      </c>
      <c r="R5" s="9" t="s">
        <v>28</v>
      </c>
    </row>
    <row r="6" spans="1:18" x14ac:dyDescent="0.3">
      <c r="A6" s="10">
        <v>5</v>
      </c>
      <c r="B6" s="9">
        <v>1.1624211650174012</v>
      </c>
      <c r="C6" s="9">
        <v>295.2257330474572</v>
      </c>
      <c r="D6" s="9">
        <v>48.629963933721875</v>
      </c>
      <c r="E6" s="9">
        <v>0.14641587052709071</v>
      </c>
      <c r="F6" s="9">
        <v>100000</v>
      </c>
      <c r="G6" s="9">
        <v>4.458847216472912</v>
      </c>
      <c r="H6" s="9">
        <v>0.5195577076855552</v>
      </c>
      <c r="I6" s="9">
        <v>804.08653698499779</v>
      </c>
      <c r="J6" s="9">
        <v>101.83915416795141</v>
      </c>
      <c r="K6" s="9">
        <v>5.9270832515313294E-2</v>
      </c>
      <c r="L6" s="9">
        <v>166657.7923230585</v>
      </c>
      <c r="M6" s="9">
        <v>0.16382232942267907</v>
      </c>
      <c r="N6" s="9">
        <v>0.75663519499451459</v>
      </c>
      <c r="O6" s="9">
        <v>180.88562253366283</v>
      </c>
      <c r="P6" s="9">
        <v>924.96078076649428</v>
      </c>
      <c r="Q6" s="9">
        <v>925.507844788488</v>
      </c>
      <c r="R6" s="9" t="s">
        <v>28</v>
      </c>
    </row>
    <row r="7" spans="1:18" x14ac:dyDescent="0.3">
      <c r="A7" s="10">
        <v>6</v>
      </c>
      <c r="B7" s="9">
        <v>1.1705519537285254</v>
      </c>
      <c r="C7" s="9">
        <v>296.41512812195037</v>
      </c>
      <c r="D7" s="9">
        <v>17.09713766634048</v>
      </c>
      <c r="E7" s="9">
        <v>1.1297325946142467E-2</v>
      </c>
      <c r="F7" s="9">
        <v>100000</v>
      </c>
      <c r="G7" s="9">
        <v>7.797394521943243</v>
      </c>
      <c r="H7" s="9">
        <v>0.42511131650732253</v>
      </c>
      <c r="I7" s="9">
        <v>837.90801417929572</v>
      </c>
      <c r="J7" s="9">
        <v>302.03935286183753</v>
      </c>
      <c r="K7" s="9">
        <v>4.7695453847198456E-2</v>
      </c>
      <c r="L7" s="9">
        <v>153967.22939929293</v>
      </c>
      <c r="M7" s="9">
        <v>9.8065370514674718E-2</v>
      </c>
      <c r="N7" s="9">
        <v>0.38261673701297944</v>
      </c>
      <c r="O7" s="9">
        <v>253.5264895781134</v>
      </c>
      <c r="P7" s="9">
        <v>1149.0235776170666</v>
      </c>
      <c r="Q7" s="9">
        <v>1148.9105174633441</v>
      </c>
      <c r="R7" s="9" t="s">
        <v>28</v>
      </c>
    </row>
    <row r="8" spans="1:18" x14ac:dyDescent="0.3">
      <c r="A8" s="10">
        <v>7</v>
      </c>
      <c r="B8" s="9">
        <v>1.1844912972126356</v>
      </c>
      <c r="C8" s="9">
        <v>292.49460715577453</v>
      </c>
      <c r="D8" s="9">
        <v>33.127492000668468</v>
      </c>
      <c r="E8" s="9">
        <v>7.9639208012270035E-2</v>
      </c>
      <c r="F8" s="9">
        <v>100000</v>
      </c>
      <c r="G8" s="9">
        <v>5.6658027027726323</v>
      </c>
      <c r="H8" s="9">
        <v>0.4371472740198078</v>
      </c>
      <c r="I8" s="9">
        <v>754.66903685224577</v>
      </c>
      <c r="J8" s="9">
        <v>349.83626512934336</v>
      </c>
      <c r="K8" s="9">
        <v>9.6412103175524226E-3</v>
      </c>
      <c r="L8" s="9">
        <v>119811.62098438881</v>
      </c>
      <c r="M8" s="9">
        <v>0.13250757810119448</v>
      </c>
      <c r="N8" s="9">
        <v>0.57735705772685963</v>
      </c>
      <c r="O8" s="9">
        <v>183.64603438472477</v>
      </c>
      <c r="P8" s="9">
        <v>1387.1107206908564</v>
      </c>
      <c r="Q8" s="9">
        <v>1385.9911221173825</v>
      </c>
      <c r="R8" s="9" t="s">
        <v>28</v>
      </c>
    </row>
    <row r="9" spans="1:18" x14ac:dyDescent="0.3">
      <c r="A9" s="10">
        <v>8</v>
      </c>
      <c r="B9" s="9">
        <v>1.1752045171504428</v>
      </c>
      <c r="C9" s="9">
        <v>297.74115631905158</v>
      </c>
      <c r="D9" s="9">
        <v>8.6568593347077503</v>
      </c>
      <c r="E9" s="9">
        <v>3.3736437305737742E-2</v>
      </c>
      <c r="F9" s="9">
        <v>100000</v>
      </c>
      <c r="G9" s="9">
        <v>9.388218612579923</v>
      </c>
      <c r="H9" s="9">
        <v>0.50262940547937096</v>
      </c>
      <c r="I9" s="9">
        <v>878.12281029710459</v>
      </c>
      <c r="J9" s="9">
        <v>67.154104815149424</v>
      </c>
      <c r="K9" s="9">
        <v>3.4689302241255798E-2</v>
      </c>
      <c r="L9" s="9">
        <v>199671.44947157963</v>
      </c>
      <c r="M9" s="9">
        <v>0.10720512038672406</v>
      </c>
      <c r="N9" s="9">
        <v>0.46647876339672478</v>
      </c>
      <c r="O9" s="9">
        <v>186.42886849743837</v>
      </c>
      <c r="P9" s="9">
        <v>1923.1835614032389</v>
      </c>
      <c r="Q9" s="9">
        <v>1922.8952483324683</v>
      </c>
      <c r="R9" s="9" t="s">
        <v>28</v>
      </c>
    </row>
    <row r="10" spans="1:18" x14ac:dyDescent="0.3">
      <c r="A10" s="10">
        <v>9</v>
      </c>
      <c r="B10" s="9">
        <v>1.1599999999999999</v>
      </c>
      <c r="C10" s="9">
        <v>300</v>
      </c>
      <c r="D10" s="9">
        <v>2</v>
      </c>
      <c r="E10" s="9">
        <v>8.0000000000000002E-3</v>
      </c>
      <c r="F10" s="9">
        <v>100000</v>
      </c>
      <c r="G10" s="9">
        <v>1.7999999999999999E-2</v>
      </c>
      <c r="H10" s="9">
        <v>0.43</v>
      </c>
      <c r="I10" s="9">
        <v>800</v>
      </c>
      <c r="J10" s="9">
        <v>5</v>
      </c>
      <c r="K10" s="9">
        <v>8.0000000000000002E-3</v>
      </c>
      <c r="L10" s="9">
        <v>100000</v>
      </c>
      <c r="M10" s="9">
        <v>0.05</v>
      </c>
      <c r="N10" s="9">
        <v>0.33</v>
      </c>
      <c r="O10" s="9">
        <v>260</v>
      </c>
      <c r="P10" s="9">
        <v>60</v>
      </c>
      <c r="Q10" s="9">
        <v>60.080727201071568</v>
      </c>
      <c r="R10" s="9" t="s">
        <v>28</v>
      </c>
    </row>
    <row r="11" spans="1:18" x14ac:dyDescent="0.3">
      <c r="A11" s="10">
        <v>10</v>
      </c>
      <c r="B11" s="9">
        <v>1.1863645271249033</v>
      </c>
      <c r="C11" s="9">
        <v>294.02941129868037</v>
      </c>
      <c r="D11" s="9">
        <v>13.037246120227197</v>
      </c>
      <c r="E11" s="9">
        <v>9.8599031473302109E-2</v>
      </c>
      <c r="F11" s="9">
        <v>100000</v>
      </c>
      <c r="G11" s="9">
        <v>2.8359104940982225</v>
      </c>
      <c r="H11" s="9">
        <v>0.4006640491038907</v>
      </c>
      <c r="I11" s="9">
        <v>875.80464183734</v>
      </c>
      <c r="J11" s="9">
        <v>524.92679152448727</v>
      </c>
      <c r="K11" s="9">
        <v>5.0520113780222795E-2</v>
      </c>
      <c r="L11" s="9">
        <v>118231.58451703473</v>
      </c>
      <c r="M11" s="9">
        <v>0.14535954538161339</v>
      </c>
      <c r="N11" s="9">
        <v>0.61141248666221903</v>
      </c>
      <c r="O11" s="9">
        <v>198.02834093429564</v>
      </c>
      <c r="P11" s="9">
        <v>1973.9178719820266</v>
      </c>
      <c r="Q11" s="9">
        <v>1973.5330299217021</v>
      </c>
      <c r="R11" s="9" t="s">
        <v>28</v>
      </c>
    </row>
    <row r="12" spans="1:18" x14ac:dyDescent="0.3">
      <c r="A12" s="10">
        <v>11</v>
      </c>
      <c r="B12" s="9">
        <v>1.1729645406537783</v>
      </c>
      <c r="C12" s="9">
        <v>293.39660969092347</v>
      </c>
      <c r="D12" s="9">
        <v>66.486766660015746</v>
      </c>
      <c r="E12" s="9">
        <v>0.13917979513766859</v>
      </c>
      <c r="F12" s="9">
        <v>100000</v>
      </c>
      <c r="G12" s="9">
        <v>0.54758259115975338</v>
      </c>
      <c r="H12" s="9">
        <v>0.50760459962582272</v>
      </c>
      <c r="I12" s="9">
        <v>757.77837271387534</v>
      </c>
      <c r="J12" s="9">
        <v>252.82665385718241</v>
      </c>
      <c r="K12" s="9">
        <v>4.9254877084440554E-2</v>
      </c>
      <c r="L12" s="9">
        <v>161577.46491429102</v>
      </c>
      <c r="M12" s="9">
        <v>9.3950193646043512E-2</v>
      </c>
      <c r="N12" s="9">
        <v>0.65428073687006583</v>
      </c>
      <c r="O12" s="9">
        <v>242.55474133985615</v>
      </c>
      <c r="P12" s="9">
        <v>990.02375374285475</v>
      </c>
      <c r="Q12" s="9">
        <v>990.19490193924867</v>
      </c>
      <c r="R12" s="9" t="s">
        <v>28</v>
      </c>
    </row>
    <row r="13" spans="1:18" x14ac:dyDescent="0.3">
      <c r="A13" s="10">
        <v>12</v>
      </c>
      <c r="B13" s="9">
        <v>1.1715399378752125</v>
      </c>
      <c r="C13" s="9">
        <v>293.9186882234294</v>
      </c>
      <c r="D13" s="9">
        <v>10.639739294747354</v>
      </c>
      <c r="E13" s="9">
        <v>0.14589480298499208</v>
      </c>
      <c r="F13" s="9">
        <v>100000</v>
      </c>
      <c r="G13" s="9">
        <v>6.2802530069970279</v>
      </c>
      <c r="H13" s="9">
        <v>0.48129577225547154</v>
      </c>
      <c r="I13" s="9">
        <v>796.1142927222711</v>
      </c>
      <c r="J13" s="9">
        <v>485.07747877766099</v>
      </c>
      <c r="K13" s="9">
        <v>2.3442500483973602E-2</v>
      </c>
      <c r="L13" s="9">
        <v>126852.1169651916</v>
      </c>
      <c r="M13" s="9">
        <v>5.5247567391543219E-2</v>
      </c>
      <c r="N13" s="9">
        <v>0.405983829114971</v>
      </c>
      <c r="O13" s="9">
        <v>202.86834376671251</v>
      </c>
      <c r="P13" s="9">
        <v>1876.833326313812</v>
      </c>
      <c r="Q13" s="9">
        <v>1877.8151240856387</v>
      </c>
      <c r="R13" s="9" t="s">
        <v>28</v>
      </c>
    </row>
    <row r="14" spans="1:18" x14ac:dyDescent="0.3">
      <c r="A14" s="10">
        <v>13</v>
      </c>
      <c r="B14" s="9">
        <v>1.1834600513440603</v>
      </c>
      <c r="C14" s="9">
        <v>296.79928024976806</v>
      </c>
      <c r="D14" s="9">
        <v>51.944594682467695</v>
      </c>
      <c r="E14" s="9">
        <v>9.4607762713498134E-2</v>
      </c>
      <c r="F14" s="9">
        <v>100000</v>
      </c>
      <c r="G14" s="9">
        <v>2.728392895448442</v>
      </c>
      <c r="H14" s="9">
        <v>0.49397624430053633</v>
      </c>
      <c r="I14" s="9">
        <v>764.25953532885876</v>
      </c>
      <c r="J14" s="9">
        <v>198.45624273815665</v>
      </c>
      <c r="K14" s="9">
        <v>1.0515926035967847E-2</v>
      </c>
      <c r="L14" s="9">
        <v>162181.73402825234</v>
      </c>
      <c r="M14" s="9">
        <v>0.1011693044377161</v>
      </c>
      <c r="N14" s="9">
        <v>0.41676968418847427</v>
      </c>
      <c r="O14" s="9">
        <v>205.09057136416428</v>
      </c>
      <c r="P14" s="9">
        <v>855.70743371725985</v>
      </c>
      <c r="Q14" s="9">
        <v>856.23492958833231</v>
      </c>
      <c r="R14" s="9" t="s">
        <v>28</v>
      </c>
    </row>
    <row r="15" spans="1:18" x14ac:dyDescent="0.3">
      <c r="A15" s="10">
        <v>14</v>
      </c>
      <c r="B15" s="9">
        <v>1.1788818218014081</v>
      </c>
      <c r="C15" s="9">
        <v>291.40269925733168</v>
      </c>
      <c r="D15" s="9">
        <v>17.155108207148217</v>
      </c>
      <c r="E15" s="9">
        <v>0.12416363904584618</v>
      </c>
      <c r="F15" s="9">
        <v>100000</v>
      </c>
      <c r="G15" s="9">
        <v>8.6604743009740854</v>
      </c>
      <c r="H15" s="9">
        <v>0.50364466674952724</v>
      </c>
      <c r="I15" s="9">
        <v>856.32376372973397</v>
      </c>
      <c r="J15" s="9">
        <v>128.82182759155734</v>
      </c>
      <c r="K15" s="9">
        <v>1.911811758958129E-2</v>
      </c>
      <c r="L15" s="9">
        <v>174918.71712178297</v>
      </c>
      <c r="M15" s="9">
        <v>0.12237837266074655</v>
      </c>
      <c r="N15" s="9">
        <v>0.60926705612178278</v>
      </c>
      <c r="O15" s="9">
        <v>214.09505846836413</v>
      </c>
      <c r="P15" s="9">
        <v>1335.7393316167218</v>
      </c>
      <c r="Q15" s="9">
        <v>1336.3342629963881</v>
      </c>
      <c r="R15" s="9" t="s">
        <v>28</v>
      </c>
    </row>
    <row r="16" spans="1:18" x14ac:dyDescent="0.3">
      <c r="A16" s="10">
        <v>15</v>
      </c>
      <c r="B16" s="9">
        <v>1.189828922648337</v>
      </c>
      <c r="C16" s="9">
        <v>289.45455163709482</v>
      </c>
      <c r="D16" s="9">
        <v>34.419859616428127</v>
      </c>
      <c r="E16" s="9">
        <v>0.1361962383603624</v>
      </c>
      <c r="F16" s="9">
        <v>100000</v>
      </c>
      <c r="G16" s="9">
        <v>3.2453864996373891</v>
      </c>
      <c r="H16" s="9">
        <v>0.50301948429145638</v>
      </c>
      <c r="I16" s="9">
        <v>772.61660641449919</v>
      </c>
      <c r="J16" s="9">
        <v>411.56178074535433</v>
      </c>
      <c r="K16" s="9">
        <v>3.4990681829183398E-2</v>
      </c>
      <c r="L16" s="9">
        <v>172788.33553333563</v>
      </c>
      <c r="M16" s="9">
        <v>0.13800175778086837</v>
      </c>
      <c r="N16" s="9">
        <v>0.65536084157339003</v>
      </c>
      <c r="O16" s="9">
        <v>214.73922983279206</v>
      </c>
      <c r="P16" s="9">
        <v>1794.3802535401119</v>
      </c>
      <c r="Q16" s="9">
        <v>1793.846232825832</v>
      </c>
      <c r="R16" s="9" t="s">
        <v>28</v>
      </c>
    </row>
    <row r="17" spans="1:18" x14ac:dyDescent="0.3">
      <c r="A17" s="10">
        <v>16</v>
      </c>
      <c r="B17" s="9">
        <v>1.1797900198056976</v>
      </c>
      <c r="C17" s="9">
        <v>290.67264167452203</v>
      </c>
      <c r="D17" s="9">
        <v>66.026138134958799</v>
      </c>
      <c r="E17" s="9">
        <v>0.1180464638117775</v>
      </c>
      <c r="F17" s="9">
        <v>100000</v>
      </c>
      <c r="G17" s="9">
        <v>1.2418117434650759</v>
      </c>
      <c r="H17" s="9">
        <v>0.47787253304630201</v>
      </c>
      <c r="I17" s="9">
        <v>796.06474478961582</v>
      </c>
      <c r="J17" s="9">
        <v>467.94523334836521</v>
      </c>
      <c r="K17" s="9">
        <v>1.6199251332970285E-2</v>
      </c>
      <c r="L17" s="9">
        <v>144799.10797847839</v>
      </c>
      <c r="M17" s="9">
        <v>0.12937872250377058</v>
      </c>
      <c r="N17" s="9">
        <v>0.52336254094954071</v>
      </c>
      <c r="O17" s="9">
        <v>226.32793943076197</v>
      </c>
      <c r="P17" s="9">
        <v>1702.9714892952979</v>
      </c>
      <c r="Q17" s="9">
        <v>1703.5447988611413</v>
      </c>
      <c r="R17" s="9" t="s">
        <v>28</v>
      </c>
    </row>
    <row r="18" spans="1:18" x14ac:dyDescent="0.3">
      <c r="A18" s="10">
        <v>17</v>
      </c>
      <c r="B18" s="9">
        <v>1.1844814367889824</v>
      </c>
      <c r="C18" s="9">
        <v>289.99342718337044</v>
      </c>
      <c r="D18" s="9">
        <v>57.144293069411361</v>
      </c>
      <c r="E18" s="9">
        <v>8.6295563133106309E-2</v>
      </c>
      <c r="F18" s="9">
        <v>100000</v>
      </c>
      <c r="G18" s="9">
        <v>4.2378197818462562</v>
      </c>
      <c r="H18" s="9">
        <v>0.47315260998239073</v>
      </c>
      <c r="I18" s="9">
        <v>766.46691433177523</v>
      </c>
      <c r="J18" s="9">
        <v>227.60699852590272</v>
      </c>
      <c r="K18" s="9">
        <v>2.1337609191090363E-2</v>
      </c>
      <c r="L18" s="9">
        <v>177474.71199794975</v>
      </c>
      <c r="M18" s="9">
        <v>0.1267271730044888</v>
      </c>
      <c r="N18" s="9">
        <v>0.58285015363379078</v>
      </c>
      <c r="O18" s="9">
        <v>222.55480535772159</v>
      </c>
      <c r="P18" s="9">
        <v>1610.1124068199933</v>
      </c>
      <c r="Q18" s="9">
        <v>1610.0958358109347</v>
      </c>
      <c r="R18" s="9" t="s">
        <v>28</v>
      </c>
    </row>
    <row r="19" spans="1:18" x14ac:dyDescent="0.3">
      <c r="A19" s="10">
        <v>18</v>
      </c>
      <c r="B19" s="9">
        <v>1.1740108036653045</v>
      </c>
      <c r="C19" s="9">
        <v>294.18421439601582</v>
      </c>
      <c r="D19" s="9">
        <v>12.472413966080417</v>
      </c>
      <c r="E19" s="9">
        <v>7.3532746256728482E-2</v>
      </c>
      <c r="F19" s="9">
        <v>100000</v>
      </c>
      <c r="G19" s="9">
        <v>4.3413156370180292</v>
      </c>
      <c r="H19" s="9">
        <v>0.47937211126068502</v>
      </c>
      <c r="I19" s="9">
        <v>856.89120321277517</v>
      </c>
      <c r="J19" s="9">
        <v>204.55512875290879</v>
      </c>
      <c r="K19" s="9">
        <v>3.9142450608180529E-2</v>
      </c>
      <c r="L19" s="9">
        <v>153067.13892342028</v>
      </c>
      <c r="M19" s="9">
        <v>8.6462074165304187E-2</v>
      </c>
      <c r="N19" s="9">
        <v>0.51732571224818946</v>
      </c>
      <c r="O19" s="9">
        <v>222.68074341819968</v>
      </c>
      <c r="P19" s="9">
        <v>840.43014171258983</v>
      </c>
      <c r="Q19" s="9">
        <v>840.38543372170534</v>
      </c>
      <c r="R19" s="9" t="s">
        <v>28</v>
      </c>
    </row>
    <row r="20" spans="1:18" x14ac:dyDescent="0.3">
      <c r="A20" s="10">
        <v>19</v>
      </c>
      <c r="B20" s="9">
        <v>1.1774975665717502</v>
      </c>
      <c r="C20" s="9">
        <v>289.77045828002298</v>
      </c>
      <c r="D20" s="9">
        <v>54.995103183103538</v>
      </c>
      <c r="E20" s="9">
        <v>0.13275361359695659</v>
      </c>
      <c r="F20" s="9">
        <v>100000</v>
      </c>
      <c r="G20" s="9">
        <v>5.9604136976445146</v>
      </c>
      <c r="H20" s="9">
        <v>0.49048233117694279</v>
      </c>
      <c r="I20" s="9">
        <v>792.9980383952992</v>
      </c>
      <c r="J20" s="9">
        <v>221.92959695996637</v>
      </c>
      <c r="K20" s="9">
        <v>5.7019462483625022E-2</v>
      </c>
      <c r="L20" s="9">
        <v>150467.79922292745</v>
      </c>
      <c r="M20" s="9">
        <v>9.6555226567152264E-2</v>
      </c>
      <c r="N20" s="9">
        <v>0.42798539765641624</v>
      </c>
      <c r="O20" s="9">
        <v>204.19581862323108</v>
      </c>
      <c r="P20" s="9">
        <v>1412.2933062316661</v>
      </c>
      <c r="Q20" s="9">
        <v>1412.1614217063179</v>
      </c>
      <c r="R20" s="9" t="s">
        <v>28</v>
      </c>
    </row>
    <row r="21" spans="1:18" x14ac:dyDescent="0.3">
      <c r="A21" s="10">
        <v>20</v>
      </c>
      <c r="B21" s="9">
        <v>1.1880193984562519</v>
      </c>
      <c r="C21" s="9">
        <v>290.34443836343758</v>
      </c>
      <c r="D21" s="9">
        <v>20.79046632431924</v>
      </c>
      <c r="E21" s="9">
        <v>0.12050327512497727</v>
      </c>
      <c r="F21" s="9">
        <v>100000</v>
      </c>
      <c r="G21" s="9">
        <v>7.208984026833253</v>
      </c>
      <c r="H21" s="9">
        <v>0.49800045285576833</v>
      </c>
      <c r="I21" s="9">
        <v>774.14785444496806</v>
      </c>
      <c r="J21" s="9">
        <v>413.10382944474213</v>
      </c>
      <c r="K21" s="9">
        <v>6.6402143536600414E-2</v>
      </c>
      <c r="L21" s="9">
        <v>153176.60417975322</v>
      </c>
      <c r="M21" s="9">
        <v>0.13488863416600988</v>
      </c>
      <c r="N21" s="9">
        <v>0.51960387305215694</v>
      </c>
      <c r="O21" s="9">
        <v>233.21321473397438</v>
      </c>
      <c r="P21" s="9">
        <v>1862.3601495018738</v>
      </c>
      <c r="Q21" s="9">
        <v>1862.4082555125933</v>
      </c>
      <c r="R21" s="9" t="s">
        <v>28</v>
      </c>
    </row>
    <row r="22" spans="1:18" x14ac:dyDescent="0.3">
      <c r="A22" s="10">
        <v>21</v>
      </c>
      <c r="B22" s="9">
        <v>1.188208708218486</v>
      </c>
      <c r="C22" s="9">
        <v>291.78138601097066</v>
      </c>
      <c r="D22" s="9">
        <v>54.417062328338005</v>
      </c>
      <c r="E22" s="9">
        <v>0.11984691524485561</v>
      </c>
      <c r="F22" s="9">
        <v>100000</v>
      </c>
      <c r="G22" s="9">
        <v>4.5946741819401611</v>
      </c>
      <c r="H22" s="9">
        <v>0.49554605436762339</v>
      </c>
      <c r="I22" s="9">
        <v>808.0530573980119</v>
      </c>
      <c r="J22" s="9">
        <v>441.557111085016</v>
      </c>
      <c r="K22" s="9">
        <v>3.468970930591566E-2</v>
      </c>
      <c r="L22" s="9">
        <v>142985.29682538088</v>
      </c>
      <c r="M22" s="9">
        <v>0.13392630559334717</v>
      </c>
      <c r="N22" s="9">
        <v>0.58751493399264021</v>
      </c>
      <c r="O22" s="9">
        <v>237.16846774225661</v>
      </c>
      <c r="P22" s="9">
        <v>1695.9753761401444</v>
      </c>
      <c r="Q22" s="9">
        <v>1696.0989963359898</v>
      </c>
      <c r="R22" s="9" t="s">
        <v>28</v>
      </c>
    </row>
    <row r="23" spans="1:18" x14ac:dyDescent="0.3">
      <c r="A23" s="10">
        <v>22</v>
      </c>
      <c r="B23" s="9">
        <v>1.1823323324246318</v>
      </c>
      <c r="C23" s="9">
        <v>291.40003325127111</v>
      </c>
      <c r="D23" s="9">
        <v>28.174629100653142</v>
      </c>
      <c r="E23" s="9">
        <v>0.10756887787380046</v>
      </c>
      <c r="F23" s="9">
        <v>100000</v>
      </c>
      <c r="G23" s="9">
        <v>3.9469385163900896</v>
      </c>
      <c r="H23" s="9">
        <v>0.49099757408999006</v>
      </c>
      <c r="I23" s="9">
        <v>795.84163470431122</v>
      </c>
      <c r="J23" s="9">
        <v>297.6066609435901</v>
      </c>
      <c r="K23" s="9">
        <v>1.7798500623277026E-2</v>
      </c>
      <c r="L23" s="9">
        <v>175531.81586677657</v>
      </c>
      <c r="M23" s="9">
        <v>0.11772047107791392</v>
      </c>
      <c r="N23" s="9">
        <v>0.60724462791988643</v>
      </c>
      <c r="O23" s="9">
        <v>224.69077563153093</v>
      </c>
      <c r="P23" s="9">
        <v>1440.3615554309727</v>
      </c>
      <c r="Q23" s="9">
        <v>1440.5267973831506</v>
      </c>
      <c r="R23" s="9" t="s">
        <v>28</v>
      </c>
    </row>
    <row r="24" spans="1:18" x14ac:dyDescent="0.3">
      <c r="A24" s="10">
        <v>23</v>
      </c>
      <c r="B24" s="9">
        <v>1.1822897611420855</v>
      </c>
      <c r="C24" s="9">
        <v>289.83249163179261</v>
      </c>
      <c r="D24" s="9">
        <v>28.679571949615877</v>
      </c>
      <c r="E24" s="9">
        <v>0.10685932407846019</v>
      </c>
      <c r="F24" s="9">
        <v>100000</v>
      </c>
      <c r="G24" s="9">
        <v>2.5631325641126015</v>
      </c>
      <c r="H24" s="9">
        <v>0.49331338115661905</v>
      </c>
      <c r="I24" s="9">
        <v>786.57985918939323</v>
      </c>
      <c r="J24" s="9">
        <v>305.30341576824759</v>
      </c>
      <c r="K24" s="9">
        <v>4.5603446123309785E-2</v>
      </c>
      <c r="L24" s="9">
        <v>139161.97551716151</v>
      </c>
      <c r="M24" s="9">
        <v>8.7929690327198939E-2</v>
      </c>
      <c r="N24" s="9">
        <v>0.4292270426768568</v>
      </c>
      <c r="O24" s="9">
        <v>231.12381699613732</v>
      </c>
      <c r="P24" s="9">
        <v>1108.9441611295842</v>
      </c>
      <c r="Q24" s="9">
        <v>1109.1952510572737</v>
      </c>
      <c r="R24" s="9" t="s">
        <v>28</v>
      </c>
    </row>
    <row r="25" spans="1:18" x14ac:dyDescent="0.3">
      <c r="A25" s="10">
        <v>24</v>
      </c>
      <c r="B25" s="9">
        <v>1.1830835351799578</v>
      </c>
      <c r="C25" s="9">
        <v>291.56821234520027</v>
      </c>
      <c r="D25" s="9">
        <v>56.313637528584515</v>
      </c>
      <c r="E25" s="9">
        <v>0.11321065610777964</v>
      </c>
      <c r="F25" s="9">
        <v>100000</v>
      </c>
      <c r="G25" s="9">
        <v>1.7411734925087776</v>
      </c>
      <c r="H25" s="9">
        <v>0.4937142555490317</v>
      </c>
      <c r="I25" s="9">
        <v>834.61214311974391</v>
      </c>
      <c r="J25" s="9">
        <v>288.66739393297166</v>
      </c>
      <c r="K25" s="9">
        <v>3.9175692470987164E-2</v>
      </c>
      <c r="L25" s="9">
        <v>142346.05244436173</v>
      </c>
      <c r="M25" s="9">
        <v>9.6635551260441058E-2</v>
      </c>
      <c r="N25" s="9">
        <v>0.55216372928291801</v>
      </c>
      <c r="O25" s="9">
        <v>224.34619611979994</v>
      </c>
      <c r="P25" s="9">
        <v>1046.7616909229473</v>
      </c>
      <c r="Q25" s="9">
        <v>1046.1413195293862</v>
      </c>
      <c r="R25" s="9" t="s">
        <v>28</v>
      </c>
    </row>
    <row r="26" spans="1:18" x14ac:dyDescent="0.3">
      <c r="A26" s="10">
        <v>25</v>
      </c>
      <c r="B26" s="9">
        <v>1.1813187708777266</v>
      </c>
      <c r="C26" s="9">
        <v>290.3935977128769</v>
      </c>
      <c r="D26" s="9">
        <v>48.787629366078725</v>
      </c>
      <c r="E26" s="9">
        <v>0.12211406897130427</v>
      </c>
      <c r="F26" s="9">
        <v>100000</v>
      </c>
      <c r="G26" s="9">
        <v>3.2276929297856127</v>
      </c>
      <c r="H26" s="9">
        <v>0.48281453398100338</v>
      </c>
      <c r="I26" s="9">
        <v>795.63794702617076</v>
      </c>
      <c r="J26" s="9">
        <v>242.68109127698108</v>
      </c>
      <c r="K26" s="9">
        <v>6.4121776946413869E-2</v>
      </c>
      <c r="L26" s="9">
        <v>170727.21806787123</v>
      </c>
      <c r="M26" s="9">
        <v>8.7755100078030751E-2</v>
      </c>
      <c r="N26" s="9">
        <v>0.53496237359398913</v>
      </c>
      <c r="O26" s="9">
        <v>209.06600274927786</v>
      </c>
      <c r="P26" s="9">
        <v>1448.2778799246225</v>
      </c>
      <c r="Q26" s="9">
        <v>1448.2201092003379</v>
      </c>
      <c r="R26" s="9" t="s">
        <v>28</v>
      </c>
    </row>
    <row r="27" spans="1:18" x14ac:dyDescent="0.3">
      <c r="A27" s="10">
        <v>26</v>
      </c>
      <c r="B27" s="9">
        <v>1.1888806009168553</v>
      </c>
      <c r="C27" s="9">
        <v>292.65799515287966</v>
      </c>
      <c r="D27" s="9">
        <v>51.015765991956052</v>
      </c>
      <c r="E27" s="9">
        <v>9.0365935289773769E-2</v>
      </c>
      <c r="F27" s="9">
        <v>100000</v>
      </c>
      <c r="G27" s="9">
        <v>1.8542115022305889</v>
      </c>
      <c r="H27" s="9">
        <v>0.47872190432876027</v>
      </c>
      <c r="I27" s="9">
        <v>839.7660913450145</v>
      </c>
      <c r="J27" s="9">
        <v>392.05269684475559</v>
      </c>
      <c r="K27" s="9">
        <v>4.5864130174332017E-2</v>
      </c>
      <c r="L27" s="9">
        <v>142327.89682806074</v>
      </c>
      <c r="M27" s="9">
        <v>9.6646945300689804E-2</v>
      </c>
      <c r="N27" s="9">
        <v>0.513152884657472</v>
      </c>
      <c r="O27" s="9">
        <v>219.0269157357497</v>
      </c>
      <c r="P27" s="9">
        <v>1372.9792951396012</v>
      </c>
      <c r="Q27" s="9">
        <v>1372.7473735148087</v>
      </c>
      <c r="R27" s="9" t="s">
        <v>28</v>
      </c>
    </row>
    <row r="28" spans="1:18" x14ac:dyDescent="0.3">
      <c r="A28" s="10">
        <v>27</v>
      </c>
      <c r="B28" s="9">
        <v>1.1803743605463171</v>
      </c>
      <c r="C28" s="9">
        <v>292.50042783777911</v>
      </c>
      <c r="D28" s="9">
        <v>55.162399608891704</v>
      </c>
      <c r="E28" s="9">
        <v>0.12023453325991318</v>
      </c>
      <c r="F28" s="9">
        <v>100000</v>
      </c>
      <c r="G28" s="9">
        <v>6.9449023258555291</v>
      </c>
      <c r="H28" s="9">
        <v>0.4821484433640687</v>
      </c>
      <c r="I28" s="9">
        <v>834.22272064007916</v>
      </c>
      <c r="J28" s="9">
        <v>333.40811577693387</v>
      </c>
      <c r="K28" s="9">
        <v>3.2185383185525336E-2</v>
      </c>
      <c r="L28" s="9">
        <v>159645.23697853609</v>
      </c>
      <c r="M28" s="9">
        <v>0.1173736119540586</v>
      </c>
      <c r="N28" s="9">
        <v>0.46403063156334212</v>
      </c>
      <c r="O28" s="9">
        <v>225.42995189540224</v>
      </c>
      <c r="P28" s="9">
        <v>1693.325836016149</v>
      </c>
      <c r="Q28" s="9">
        <v>1693.2539435641374</v>
      </c>
      <c r="R28" s="9" t="s">
        <v>28</v>
      </c>
    </row>
    <row r="29" spans="1:18" x14ac:dyDescent="0.3">
      <c r="A29" s="10">
        <v>28</v>
      </c>
      <c r="B29" s="9">
        <v>1.1874248217972829</v>
      </c>
      <c r="C29" s="9">
        <v>292.3153354787367</v>
      </c>
      <c r="D29" s="9">
        <v>39.127939244574542</v>
      </c>
      <c r="E29" s="9">
        <v>9.9379025457694489E-2</v>
      </c>
      <c r="F29" s="9">
        <v>100000</v>
      </c>
      <c r="G29" s="9">
        <v>5.1355995610793821</v>
      </c>
      <c r="H29" s="9">
        <v>0.48768300505385026</v>
      </c>
      <c r="I29" s="9">
        <v>780.15998387298544</v>
      </c>
      <c r="J29" s="9">
        <v>312.83128628366512</v>
      </c>
      <c r="K29" s="9">
        <v>1.8054631499051246E-2</v>
      </c>
      <c r="L29" s="9">
        <v>155399.11255698398</v>
      </c>
      <c r="M29" s="9">
        <v>0.12174575194575145</v>
      </c>
      <c r="N29" s="9">
        <v>0.59021670383432701</v>
      </c>
      <c r="O29" s="9">
        <v>229.93075483204041</v>
      </c>
      <c r="P29" s="9">
        <v>1387.5620612159182</v>
      </c>
      <c r="Q29" s="9">
        <v>1387.4749608434504</v>
      </c>
      <c r="R29" s="9" t="s">
        <v>28</v>
      </c>
    </row>
    <row r="30" spans="1:18" x14ac:dyDescent="0.3">
      <c r="A30" s="10">
        <v>29</v>
      </c>
      <c r="B30" s="9">
        <v>1.1822596563843559</v>
      </c>
      <c r="C30" s="9">
        <v>290.52976855858702</v>
      </c>
      <c r="D30" s="9">
        <v>50.901984208771253</v>
      </c>
      <c r="E30" s="9">
        <v>8.2247720754658818E-2</v>
      </c>
      <c r="F30" s="9">
        <v>100000</v>
      </c>
      <c r="G30" s="9">
        <v>3.4894544781100754</v>
      </c>
      <c r="H30" s="9">
        <v>0.48220518849797239</v>
      </c>
      <c r="I30" s="9">
        <v>796.27126818892498</v>
      </c>
      <c r="J30" s="9">
        <v>289.88215537812476</v>
      </c>
      <c r="K30" s="9">
        <v>5.4393787298488552E-2</v>
      </c>
      <c r="L30" s="9">
        <v>144739.52261839234</v>
      </c>
      <c r="M30" s="9">
        <v>0.10046345821613198</v>
      </c>
      <c r="N30" s="9">
        <v>0.57012080017709965</v>
      </c>
      <c r="O30" s="9">
        <v>236.06702878149272</v>
      </c>
      <c r="P30" s="9">
        <v>1183.7820914878321</v>
      </c>
      <c r="Q30" s="9">
        <v>1183.5274694865802</v>
      </c>
      <c r="R30" s="9" t="s">
        <v>28</v>
      </c>
    </row>
    <row r="31" spans="1:18" x14ac:dyDescent="0.3">
      <c r="A31" s="10">
        <v>30</v>
      </c>
      <c r="B31" s="9">
        <v>1.1816712139682854</v>
      </c>
      <c r="C31" s="9">
        <v>291.20596849980427</v>
      </c>
      <c r="D31" s="9">
        <v>39.824842562255391</v>
      </c>
      <c r="E31" s="9">
        <v>0.11493359087726635</v>
      </c>
      <c r="F31" s="9">
        <v>100000</v>
      </c>
      <c r="G31" s="9">
        <v>4.5690088892961001</v>
      </c>
      <c r="H31" s="9">
        <v>0.48896651923643142</v>
      </c>
      <c r="I31" s="9">
        <v>805.33089656869765</v>
      </c>
      <c r="J31" s="9">
        <v>387.51678630079618</v>
      </c>
      <c r="K31" s="9">
        <v>3.1812024219931706E-2</v>
      </c>
      <c r="L31" s="9">
        <v>165791.71682959312</v>
      </c>
      <c r="M31" s="9">
        <v>0.11859838249777759</v>
      </c>
      <c r="N31" s="9">
        <v>0.55609199480772942</v>
      </c>
      <c r="O31" s="9">
        <v>215.25731955449476</v>
      </c>
      <c r="P31" s="9">
        <v>1746.2302158651219</v>
      </c>
      <c r="Q31" s="9">
        <v>1745.8430527213495</v>
      </c>
      <c r="R31" s="9" t="s">
        <v>28</v>
      </c>
    </row>
    <row r="32" spans="1:18" x14ac:dyDescent="0.3">
      <c r="A32" s="10">
        <v>31</v>
      </c>
      <c r="B32" s="9">
        <v>1.1837039216684568</v>
      </c>
      <c r="C32" s="9">
        <v>291.69998509905719</v>
      </c>
      <c r="D32" s="9">
        <v>53.273929829312962</v>
      </c>
      <c r="E32" s="9">
        <v>0.10302386411025102</v>
      </c>
      <c r="F32" s="9">
        <v>100000</v>
      </c>
      <c r="G32" s="9">
        <v>3.4340819164508769</v>
      </c>
      <c r="H32" s="9">
        <v>0.48444634860704505</v>
      </c>
      <c r="I32" s="9">
        <v>809.03865469197819</v>
      </c>
      <c r="J32" s="9">
        <v>345.1192939569591</v>
      </c>
      <c r="K32" s="9">
        <v>5.6396984582219103E-2</v>
      </c>
      <c r="L32" s="9">
        <v>161047.33416335963</v>
      </c>
      <c r="M32" s="9">
        <v>8.8712430225637628E-2</v>
      </c>
      <c r="N32" s="9">
        <v>0.5489035613038018</v>
      </c>
      <c r="O32" s="9">
        <v>215.61975848473568</v>
      </c>
      <c r="P32" s="9">
        <v>1572.7842803352323</v>
      </c>
      <c r="Q32" s="9">
        <v>1572.5409446803387</v>
      </c>
      <c r="R32" s="9" t="s">
        <v>28</v>
      </c>
    </row>
    <row r="33" spans="1:18" x14ac:dyDescent="0.3">
      <c r="A33" s="10">
        <v>32</v>
      </c>
      <c r="B33" s="9">
        <v>1.1853315150934594</v>
      </c>
      <c r="C33" s="9">
        <v>289.99502985822949</v>
      </c>
      <c r="D33" s="9">
        <v>44.465727527888681</v>
      </c>
      <c r="E33" s="9">
        <v>9.9622962051842207E-2</v>
      </c>
      <c r="F33" s="9">
        <v>100000</v>
      </c>
      <c r="G33" s="9">
        <v>1.7799607829595907</v>
      </c>
      <c r="H33" s="9">
        <v>0.49160732001541896</v>
      </c>
      <c r="I33" s="9">
        <v>798.58424618542153</v>
      </c>
      <c r="J33" s="9">
        <v>242.82809815595334</v>
      </c>
      <c r="K33" s="9">
        <v>6.3456481022113986E-2</v>
      </c>
      <c r="L33" s="9">
        <v>148206.98810488076</v>
      </c>
      <c r="M33" s="9">
        <v>9.7332170647366031E-2</v>
      </c>
      <c r="N33" s="9">
        <v>0.55237192162139881</v>
      </c>
      <c r="O33" s="9">
        <v>216.90821388502732</v>
      </c>
      <c r="P33" s="9">
        <v>1063.1665795085064</v>
      </c>
      <c r="Q33" s="9">
        <v>1063.1307941480773</v>
      </c>
      <c r="R33" s="9" t="s">
        <v>28</v>
      </c>
    </row>
    <row r="34" spans="1:18" x14ac:dyDescent="0.3">
      <c r="A34" s="10">
        <v>33</v>
      </c>
      <c r="B34" s="9">
        <v>1.1887983043743142</v>
      </c>
      <c r="C34" s="9">
        <v>290.12955374757934</v>
      </c>
      <c r="D34" s="9">
        <v>25.649635396762296</v>
      </c>
      <c r="E34" s="9">
        <v>0.1016281684802893</v>
      </c>
      <c r="F34" s="9">
        <v>100000</v>
      </c>
      <c r="G34" s="9">
        <v>1.7891079473984557</v>
      </c>
      <c r="H34" s="9">
        <v>0.49081209082990179</v>
      </c>
      <c r="I34" s="9">
        <v>797.77529671226398</v>
      </c>
      <c r="J34" s="9">
        <v>390.1339377257483</v>
      </c>
      <c r="K34" s="9">
        <v>3.3892030790395766E-2</v>
      </c>
      <c r="L34" s="9">
        <v>159224.16454496089</v>
      </c>
      <c r="M34" s="9">
        <v>9.2618886853517338E-2</v>
      </c>
      <c r="N34" s="9">
        <v>0.55633593962389183</v>
      </c>
      <c r="O34" s="9">
        <v>229.51410393958662</v>
      </c>
      <c r="P34" s="9">
        <v>1498.4706974974179</v>
      </c>
      <c r="Q34" s="9">
        <v>1498.316906197113</v>
      </c>
      <c r="R34" s="9" t="s">
        <v>28</v>
      </c>
    </row>
    <row r="35" spans="1:18" x14ac:dyDescent="0.3">
      <c r="A35" s="10">
        <v>34</v>
      </c>
      <c r="B35" s="9">
        <v>1.1825137553524987</v>
      </c>
      <c r="C35" s="9">
        <v>292.21826781003557</v>
      </c>
      <c r="D35" s="9">
        <v>50.025210569530529</v>
      </c>
      <c r="E35" s="9">
        <v>9.4952608714876499E-2</v>
      </c>
      <c r="F35" s="9">
        <v>100000</v>
      </c>
      <c r="G35" s="9">
        <v>2.6286645166677052</v>
      </c>
      <c r="H35" s="9">
        <v>0.48339653645444342</v>
      </c>
      <c r="I35" s="9">
        <v>797.02640395711626</v>
      </c>
      <c r="J35" s="9">
        <v>368.518546764532</v>
      </c>
      <c r="K35" s="9">
        <v>5.7215031318635604E-2</v>
      </c>
      <c r="L35" s="9">
        <v>169963.81155743758</v>
      </c>
      <c r="M35" s="9">
        <v>9.9261158314756792E-2</v>
      </c>
      <c r="N35" s="9">
        <v>0.50131274744453003</v>
      </c>
      <c r="O35" s="9">
        <v>233.09271268824932</v>
      </c>
      <c r="P35" s="9">
        <v>1553.9610215500506</v>
      </c>
      <c r="Q35" s="9">
        <v>1553.8365745248739</v>
      </c>
      <c r="R35" s="9" t="s">
        <v>28</v>
      </c>
    </row>
    <row r="36" spans="1:18" x14ac:dyDescent="0.3">
      <c r="A36" s="10">
        <v>35</v>
      </c>
      <c r="B36" s="9">
        <v>1.1826837629542521</v>
      </c>
      <c r="C36" s="9">
        <v>291.78942040019996</v>
      </c>
      <c r="D36" s="9">
        <v>47.567088503219267</v>
      </c>
      <c r="E36" s="9">
        <v>9.0769074331067914E-2</v>
      </c>
      <c r="F36" s="9">
        <v>100000</v>
      </c>
      <c r="G36" s="9">
        <v>5.5760891482125086</v>
      </c>
      <c r="H36" s="9">
        <v>0.49129626298532675</v>
      </c>
      <c r="I36" s="9">
        <v>786.96717642514761</v>
      </c>
      <c r="J36" s="9">
        <v>248.01638633029575</v>
      </c>
      <c r="K36" s="9">
        <v>4.2739846348682602E-2</v>
      </c>
      <c r="L36" s="9">
        <v>150800.56657912294</v>
      </c>
      <c r="M36" s="9">
        <v>0.11543141489675825</v>
      </c>
      <c r="N36" s="9">
        <v>0.55589906377864096</v>
      </c>
      <c r="O36" s="9">
        <v>235.93033024104633</v>
      </c>
      <c r="P36" s="9">
        <v>1201.5651261323874</v>
      </c>
      <c r="Q36" s="9">
        <v>1201.4103408162482</v>
      </c>
      <c r="R36" s="9" t="s">
        <v>28</v>
      </c>
    </row>
    <row r="37" spans="1:18" x14ac:dyDescent="0.3">
      <c r="A37" s="10">
        <v>36</v>
      </c>
      <c r="B37" s="9">
        <v>1.1827818601618114</v>
      </c>
      <c r="C37" s="9">
        <v>291.96167966268757</v>
      </c>
      <c r="D37" s="9">
        <v>29.120998034668499</v>
      </c>
      <c r="E37" s="9">
        <v>0.10645428566384479</v>
      </c>
      <c r="F37" s="9">
        <v>100000</v>
      </c>
      <c r="G37" s="9">
        <v>5.6993814236317304</v>
      </c>
      <c r="H37" s="9">
        <v>0.48810121806552476</v>
      </c>
      <c r="I37" s="9">
        <v>796.22323955268109</v>
      </c>
      <c r="J37" s="9">
        <v>363.91367550387372</v>
      </c>
      <c r="K37" s="9">
        <v>5.1512350678393097E-2</v>
      </c>
      <c r="L37" s="9">
        <v>170617.57658095221</v>
      </c>
      <c r="M37" s="9">
        <v>0.11205970607638573</v>
      </c>
      <c r="N37" s="9">
        <v>0.52990502593819744</v>
      </c>
      <c r="O37" s="9">
        <v>222.30840142336879</v>
      </c>
      <c r="P37" s="9">
        <v>1636.6928523033785</v>
      </c>
      <c r="Q37" s="9">
        <v>1636.6393634597189</v>
      </c>
      <c r="R37" s="9" t="s">
        <v>28</v>
      </c>
    </row>
    <row r="38" spans="1:18" x14ac:dyDescent="0.3">
      <c r="A38" s="10">
        <v>37</v>
      </c>
      <c r="B38" s="9">
        <v>1.1829230642964457</v>
      </c>
      <c r="C38" s="9">
        <v>290.67690898495812</v>
      </c>
      <c r="D38" s="9">
        <v>47.300643165102272</v>
      </c>
      <c r="E38" s="9">
        <v>0.1022549605344994</v>
      </c>
      <c r="F38" s="9">
        <v>100000</v>
      </c>
      <c r="G38" s="9">
        <v>4.7280701981334019</v>
      </c>
      <c r="H38" s="9">
        <v>0.47968033793476728</v>
      </c>
      <c r="I38" s="9">
        <v>793.09901016327331</v>
      </c>
      <c r="J38" s="9">
        <v>340.61153615474478</v>
      </c>
      <c r="K38" s="9">
        <v>3.9058325867399539E-2</v>
      </c>
      <c r="L38" s="9">
        <v>164696.46918308284</v>
      </c>
      <c r="M38" s="9">
        <v>0.1067269447963356</v>
      </c>
      <c r="N38" s="9">
        <v>0.512419089634786</v>
      </c>
      <c r="O38" s="9">
        <v>226.45528055756748</v>
      </c>
      <c r="P38" s="9">
        <v>1654.4016894780143</v>
      </c>
      <c r="Q38" s="9">
        <v>1654.1728852766682</v>
      </c>
      <c r="R38" s="9" t="s">
        <v>28</v>
      </c>
    </row>
    <row r="39" spans="1:18" x14ac:dyDescent="0.3">
      <c r="A39" s="10">
        <v>38</v>
      </c>
      <c r="B39" s="9">
        <v>1.1872927311071801</v>
      </c>
      <c r="C39" s="9">
        <v>290.84719285901906</v>
      </c>
      <c r="D39" s="9">
        <v>42.935003297203664</v>
      </c>
      <c r="E39" s="9">
        <v>9.4241178971364567E-2</v>
      </c>
      <c r="F39" s="9">
        <v>100000</v>
      </c>
      <c r="G39" s="9">
        <v>5.4436735700576486</v>
      </c>
      <c r="H39" s="9">
        <v>0.48674696353323677</v>
      </c>
      <c r="I39" s="9">
        <v>806.2707214966116</v>
      </c>
      <c r="J39" s="9">
        <v>385.97221270388957</v>
      </c>
      <c r="K39" s="9">
        <v>4.9608329594061605E-2</v>
      </c>
      <c r="L39" s="9">
        <v>154545.5120654646</v>
      </c>
      <c r="M39" s="9">
        <v>9.7580004574298246E-2</v>
      </c>
      <c r="N39" s="9">
        <v>0.53677039714905472</v>
      </c>
      <c r="O39" s="9">
        <v>231.20428264317587</v>
      </c>
      <c r="P39" s="9">
        <v>1729.9907068291723</v>
      </c>
      <c r="Q39" s="9">
        <v>1729.8890898557147</v>
      </c>
      <c r="R39" s="9" t="s">
        <v>28</v>
      </c>
    </row>
    <row r="40" spans="1:18" x14ac:dyDescent="0.3">
      <c r="A40" s="10">
        <v>39</v>
      </c>
      <c r="B40" s="9">
        <v>1.185111782490432</v>
      </c>
      <c r="C40" s="9">
        <v>291.82701522341154</v>
      </c>
      <c r="D40" s="9">
        <v>31.623066738730586</v>
      </c>
      <c r="E40" s="9">
        <v>9.5847172887876822E-2</v>
      </c>
      <c r="F40" s="9">
        <v>100000</v>
      </c>
      <c r="G40" s="9">
        <v>2.6375471810802842</v>
      </c>
      <c r="H40" s="9">
        <v>0.47960261039357049</v>
      </c>
      <c r="I40" s="9">
        <v>802.7191915937351</v>
      </c>
      <c r="J40" s="9">
        <v>300.99876491682954</v>
      </c>
      <c r="K40" s="9">
        <v>4.1586963608203555E-2</v>
      </c>
      <c r="L40" s="9">
        <v>158648.17618875444</v>
      </c>
      <c r="M40" s="9">
        <v>0.10941923984294738</v>
      </c>
      <c r="N40" s="9">
        <v>0.53351175656686378</v>
      </c>
      <c r="O40" s="9">
        <v>225.83714162877354</v>
      </c>
      <c r="P40" s="9">
        <v>1232.5516146122754</v>
      </c>
      <c r="Q40" s="9">
        <v>1232.5694098061067</v>
      </c>
      <c r="R40" s="9" t="s">
        <v>28</v>
      </c>
    </row>
    <row r="41" spans="1:18" x14ac:dyDescent="0.3">
      <c r="A41" s="10">
        <v>40</v>
      </c>
      <c r="B41" s="9">
        <v>1.1830353128235591</v>
      </c>
      <c r="C41" s="9">
        <v>290.59067002198708</v>
      </c>
      <c r="D41" s="9">
        <v>37.902030309110586</v>
      </c>
      <c r="E41" s="9">
        <v>9.9477505209657646E-2</v>
      </c>
      <c r="F41" s="9">
        <v>100000</v>
      </c>
      <c r="G41" s="9">
        <v>2.9933045781587033</v>
      </c>
      <c r="H41" s="9">
        <v>0.484165682867785</v>
      </c>
      <c r="I41" s="9">
        <v>808.86121297364832</v>
      </c>
      <c r="J41" s="9">
        <v>248.39505898059159</v>
      </c>
      <c r="K41" s="9">
        <v>4.7748547687613489E-2</v>
      </c>
      <c r="L41" s="9">
        <v>154870.84920712697</v>
      </c>
      <c r="M41" s="9">
        <v>0.11340736758429143</v>
      </c>
      <c r="N41" s="9">
        <v>0.51855574788572611</v>
      </c>
      <c r="O41" s="9">
        <v>228.06926272819462</v>
      </c>
      <c r="P41" s="9">
        <v>1151.4305541862777</v>
      </c>
      <c r="Q41" s="9">
        <v>1151.5391932375496</v>
      </c>
      <c r="R41" s="9" t="s">
        <v>28</v>
      </c>
    </row>
    <row r="42" spans="1:18" x14ac:dyDescent="0.3">
      <c r="A42" s="10">
        <v>41</v>
      </c>
      <c r="B42" s="9">
        <v>1.1869766889967901</v>
      </c>
      <c r="C42" s="9">
        <v>290.0235473706191</v>
      </c>
      <c r="D42" s="9">
        <v>29.417434009077549</v>
      </c>
      <c r="E42" s="9">
        <v>0.10158789381132523</v>
      </c>
      <c r="F42" s="9">
        <v>100000</v>
      </c>
      <c r="G42" s="9">
        <v>5.5806560039015238</v>
      </c>
      <c r="H42" s="9">
        <v>0.48985361599906913</v>
      </c>
      <c r="I42" s="9">
        <v>788.70948875204601</v>
      </c>
      <c r="J42" s="9">
        <v>292.91826988348481</v>
      </c>
      <c r="K42" s="9">
        <v>6.1265248387094809E-2</v>
      </c>
      <c r="L42" s="9">
        <v>149034.77522756814</v>
      </c>
      <c r="M42" s="9">
        <v>0.10539737366312664</v>
      </c>
      <c r="N42" s="9">
        <v>0.52710752612830247</v>
      </c>
      <c r="O42" s="9">
        <v>226.46841226066672</v>
      </c>
      <c r="P42" s="9">
        <v>1414.8742327828004</v>
      </c>
      <c r="Q42" s="9">
        <v>1414.8965438923333</v>
      </c>
      <c r="R42" s="9" t="s">
        <v>28</v>
      </c>
    </row>
    <row r="43" spans="1:18" x14ac:dyDescent="0.3">
      <c r="A43" s="10">
        <v>42</v>
      </c>
      <c r="B43" s="9">
        <v>1.1830898236718601</v>
      </c>
      <c r="C43" s="9">
        <v>291.78690733155673</v>
      </c>
      <c r="D43" s="9">
        <v>35.177283754190171</v>
      </c>
      <c r="E43" s="9">
        <v>0.10185471843018126</v>
      </c>
      <c r="F43" s="9">
        <v>100000</v>
      </c>
      <c r="G43" s="9">
        <v>5.4397081032452261</v>
      </c>
      <c r="H43" s="9">
        <v>0.48205674462971831</v>
      </c>
      <c r="I43" s="9">
        <v>798.01577811377695</v>
      </c>
      <c r="J43" s="9">
        <v>310.73886445858875</v>
      </c>
      <c r="K43" s="9">
        <v>4.6692273858176009E-2</v>
      </c>
      <c r="L43" s="9">
        <v>157269.67646735269</v>
      </c>
      <c r="M43" s="9">
        <v>9.9240177794513995E-2</v>
      </c>
      <c r="N43" s="9">
        <v>0.52454075850800741</v>
      </c>
      <c r="O43" s="9">
        <v>230.82939628775731</v>
      </c>
      <c r="P43" s="9">
        <v>1431.0796292925297</v>
      </c>
      <c r="Q43" s="9">
        <v>1431.0606284913374</v>
      </c>
      <c r="R43" s="9" t="s">
        <v>28</v>
      </c>
    </row>
    <row r="44" spans="1:18" x14ac:dyDescent="0.3">
      <c r="A44" s="10">
        <v>43</v>
      </c>
      <c r="B44" s="9">
        <v>1.1841388125730323</v>
      </c>
      <c r="C44" s="9">
        <v>290.50070897780597</v>
      </c>
      <c r="D44" s="9">
        <v>45.83272025435501</v>
      </c>
      <c r="E44" s="9">
        <v>0.10000582576110047</v>
      </c>
      <c r="F44" s="9">
        <v>100000</v>
      </c>
      <c r="G44" s="9">
        <v>5.3077791277816821</v>
      </c>
      <c r="H44" s="9">
        <v>0.4854435073470203</v>
      </c>
      <c r="I44" s="9">
        <v>800.54172870123955</v>
      </c>
      <c r="J44" s="9">
        <v>343.18694026096568</v>
      </c>
      <c r="K44" s="9">
        <v>4.3486920636574708E-2</v>
      </c>
      <c r="L44" s="9">
        <v>154732.35242059655</v>
      </c>
      <c r="M44" s="9">
        <v>9.8181893369608503E-2</v>
      </c>
      <c r="N44" s="9">
        <v>0.50538960846967229</v>
      </c>
      <c r="O44" s="9">
        <v>233.9462871688394</v>
      </c>
      <c r="P44" s="9">
        <v>1605.269539738707</v>
      </c>
      <c r="Q44" s="9">
        <v>1605.2589059823658</v>
      </c>
      <c r="R44" s="9" t="s">
        <v>28</v>
      </c>
    </row>
    <row r="45" spans="1:18" x14ac:dyDescent="0.3">
      <c r="A45" s="10">
        <v>44</v>
      </c>
      <c r="B45" s="9">
        <v>1.1826803690941177</v>
      </c>
      <c r="C45" s="9">
        <v>291.91720223137287</v>
      </c>
      <c r="D45" s="9">
        <v>31.246225583163749</v>
      </c>
      <c r="E45" s="9">
        <v>9.4007363637526292E-2</v>
      </c>
      <c r="F45" s="9">
        <v>100000</v>
      </c>
      <c r="G45" s="9">
        <v>2.8785597318165737</v>
      </c>
      <c r="H45" s="9">
        <v>0.47999661784055148</v>
      </c>
      <c r="I45" s="9">
        <v>793.10011292898935</v>
      </c>
      <c r="J45" s="9">
        <v>358.44529659058776</v>
      </c>
      <c r="K45" s="9">
        <v>3.9031360535332217E-2</v>
      </c>
      <c r="L45" s="9">
        <v>167966.18928001463</v>
      </c>
      <c r="M45" s="9">
        <v>0.10425924328557352</v>
      </c>
      <c r="N45" s="9">
        <v>0.53180790695988112</v>
      </c>
      <c r="O45" s="9">
        <v>225.87612576418184</v>
      </c>
      <c r="P45" s="9">
        <v>1450.1793578652942</v>
      </c>
      <c r="Q45" s="9">
        <v>1450.0339570820797</v>
      </c>
      <c r="R45" s="9" t="s">
        <v>28</v>
      </c>
    </row>
    <row r="46" spans="1:18" x14ac:dyDescent="0.3">
      <c r="A46" s="10">
        <v>45</v>
      </c>
      <c r="B46" s="9">
        <v>1.1857534489337771</v>
      </c>
      <c r="C46" s="9">
        <v>290.0841635523131</v>
      </c>
      <c r="D46" s="9">
        <v>32.088283011919749</v>
      </c>
      <c r="E46" s="9">
        <v>9.9028248046046652E-2</v>
      </c>
      <c r="F46" s="9">
        <v>100000</v>
      </c>
      <c r="G46" s="9">
        <v>3.5476475060874328</v>
      </c>
      <c r="H46" s="9">
        <v>0.48725903838281992</v>
      </c>
      <c r="I46" s="9">
        <v>788.8163854808937</v>
      </c>
      <c r="J46" s="9">
        <v>372.91590789227405</v>
      </c>
      <c r="K46" s="9">
        <v>4.3668050256914559E-2</v>
      </c>
      <c r="L46" s="9">
        <v>164921.1089575915</v>
      </c>
      <c r="M46" s="9">
        <v>0.10925503144567542</v>
      </c>
      <c r="N46" s="9">
        <v>0.51282510120447389</v>
      </c>
      <c r="O46" s="9">
        <v>225.9178491556728</v>
      </c>
      <c r="P46" s="9">
        <v>1621.6673645483606</v>
      </c>
      <c r="Q46" s="9">
        <v>1621.3655910952948</v>
      </c>
      <c r="R46" s="9" t="s">
        <v>28</v>
      </c>
    </row>
    <row r="47" spans="1:18" x14ac:dyDescent="0.3">
      <c r="A47" s="10">
        <v>46</v>
      </c>
      <c r="B47" s="9">
        <v>1.1842351937687596</v>
      </c>
      <c r="C47" s="9">
        <v>290.20417724977733</v>
      </c>
      <c r="D47" s="9">
        <v>41.138876345579718</v>
      </c>
      <c r="E47" s="9">
        <v>9.4094464303609363E-2</v>
      </c>
      <c r="F47" s="9">
        <v>100000</v>
      </c>
      <c r="G47" s="9">
        <v>4.7817726025707969</v>
      </c>
      <c r="H47" s="9">
        <v>0.48514582706319043</v>
      </c>
      <c r="I47" s="9">
        <v>807.95803692782329</v>
      </c>
      <c r="J47" s="9">
        <v>363.38852224455445</v>
      </c>
      <c r="K47" s="9">
        <v>4.7505795508652415E-2</v>
      </c>
      <c r="L47" s="9">
        <v>168527.28713077406</v>
      </c>
      <c r="M47" s="9">
        <v>0.10635992502547245</v>
      </c>
      <c r="N47" s="9">
        <v>0.52429896246273899</v>
      </c>
      <c r="O47" s="9">
        <v>227.24830973446223</v>
      </c>
      <c r="P47" s="9">
        <v>1736.6673217146235</v>
      </c>
      <c r="Q47" s="9">
        <v>1736.3297865206841</v>
      </c>
      <c r="R47" s="9" t="s">
        <v>28</v>
      </c>
    </row>
    <row r="48" spans="1:18" x14ac:dyDescent="0.3">
      <c r="A48" s="10">
        <v>47</v>
      </c>
      <c r="B48" s="9">
        <v>1.1841763029494066</v>
      </c>
      <c r="C48" s="9">
        <v>290.27844074056986</v>
      </c>
      <c r="D48" s="9">
        <v>41.314779339696628</v>
      </c>
      <c r="E48" s="9">
        <v>9.905447222527336E-2</v>
      </c>
      <c r="F48" s="9">
        <v>100000</v>
      </c>
      <c r="G48" s="9">
        <v>3.0407667096714475</v>
      </c>
      <c r="H48" s="9">
        <v>0.48929114374752702</v>
      </c>
      <c r="I48" s="9">
        <v>794.38829889069518</v>
      </c>
      <c r="J48" s="9">
        <v>332.05755393872619</v>
      </c>
      <c r="K48" s="9">
        <v>5.4421175754162734E-2</v>
      </c>
      <c r="L48" s="9">
        <v>155536.47067642637</v>
      </c>
      <c r="M48" s="9">
        <v>0.10460653010577602</v>
      </c>
      <c r="N48" s="9">
        <v>0.52574594605488389</v>
      </c>
      <c r="O48" s="9">
        <v>229.55107298883505</v>
      </c>
      <c r="P48" s="9">
        <v>1436.5738962757678</v>
      </c>
      <c r="Q48" s="9">
        <v>1436.6075621636119</v>
      </c>
      <c r="R48" s="9" t="s">
        <v>28</v>
      </c>
    </row>
    <row r="49" spans="1:18" x14ac:dyDescent="0.3">
      <c r="A49" s="10">
        <v>48</v>
      </c>
      <c r="B49" s="9">
        <v>1.1839969905188263</v>
      </c>
      <c r="C49" s="9">
        <v>290.51168852511518</v>
      </c>
      <c r="D49" s="9">
        <v>42.243811742341734</v>
      </c>
      <c r="E49" s="9">
        <v>9.9784281463172628E-2</v>
      </c>
      <c r="F49" s="9">
        <v>100000</v>
      </c>
      <c r="G49" s="9">
        <v>4.7302119070458266</v>
      </c>
      <c r="H49" s="9">
        <v>0.48004133298338225</v>
      </c>
      <c r="I49" s="9">
        <v>808.26752888793817</v>
      </c>
      <c r="J49" s="9">
        <v>297.06176666576494</v>
      </c>
      <c r="K49" s="9">
        <v>5.8663488346134232E-2</v>
      </c>
      <c r="L49" s="9">
        <v>163279.43423280615</v>
      </c>
      <c r="M49" s="9">
        <v>0.1057832013123914</v>
      </c>
      <c r="N49" s="9">
        <v>0.51037245595634262</v>
      </c>
      <c r="O49" s="9">
        <v>229.68377611746106</v>
      </c>
      <c r="P49" s="9">
        <v>1502.1489992306379</v>
      </c>
      <c r="Q49" s="9">
        <v>1502.0763502739719</v>
      </c>
      <c r="R49" s="9" t="s">
        <v>28</v>
      </c>
    </row>
    <row r="50" spans="1:18" x14ac:dyDescent="0.3">
      <c r="A50" s="10">
        <v>49</v>
      </c>
      <c r="B50" s="9">
        <v>1.1855770553826048</v>
      </c>
      <c r="C50" s="9">
        <v>291.54936185486235</v>
      </c>
      <c r="D50" s="9">
        <v>41.949279267618216</v>
      </c>
      <c r="E50" s="9">
        <v>9.6116186056914618E-2</v>
      </c>
      <c r="F50" s="9">
        <v>100000</v>
      </c>
      <c r="G50" s="9">
        <v>4.8019210769434544</v>
      </c>
      <c r="H50" s="9">
        <v>0.4800961263809102</v>
      </c>
      <c r="I50" s="9">
        <v>792.97022591369944</v>
      </c>
      <c r="J50" s="9">
        <v>372.70768926802134</v>
      </c>
      <c r="K50" s="9">
        <v>4.1523001390772779E-2</v>
      </c>
      <c r="L50" s="9">
        <v>155179.18124556763</v>
      </c>
      <c r="M50" s="9">
        <v>0.10727329099900246</v>
      </c>
      <c r="N50" s="9">
        <v>0.52174924519898602</v>
      </c>
      <c r="O50" s="9">
        <v>231.36094110772473</v>
      </c>
      <c r="P50" s="9">
        <v>1603.5885452179282</v>
      </c>
      <c r="Q50" s="9">
        <v>1603.505049046129</v>
      </c>
      <c r="R50" s="9" t="s">
        <v>28</v>
      </c>
    </row>
    <row r="51" spans="1:18" x14ac:dyDescent="0.3">
      <c r="A51" s="10">
        <v>50</v>
      </c>
      <c r="B51" s="9">
        <v>1.1867391010655428</v>
      </c>
      <c r="C51" s="9">
        <v>290.84770778093809</v>
      </c>
      <c r="D51" s="9">
        <v>41.100420900968516</v>
      </c>
      <c r="E51" s="9">
        <v>9.4412061947689196E-2</v>
      </c>
      <c r="F51" s="9">
        <v>100000</v>
      </c>
      <c r="G51" s="9">
        <v>4.3761999261814015</v>
      </c>
      <c r="H51" s="9">
        <v>0.48330496089380109</v>
      </c>
      <c r="I51" s="9">
        <v>800.99975514096184</v>
      </c>
      <c r="J51" s="9">
        <v>302.96139216104365</v>
      </c>
      <c r="K51" s="9">
        <v>4.6709532983626768E-2</v>
      </c>
      <c r="L51" s="9">
        <v>166766.13801479319</v>
      </c>
      <c r="M51" s="9">
        <v>0.10440863122572769</v>
      </c>
      <c r="N51" s="9">
        <v>0.53049308843471332</v>
      </c>
      <c r="O51" s="9">
        <v>229.40494189152528</v>
      </c>
      <c r="P51" s="9">
        <v>1497.7934504625664</v>
      </c>
      <c r="Q51" s="9">
        <v>1497.7064023776911</v>
      </c>
      <c r="R51" s="9" t="s">
        <v>28</v>
      </c>
    </row>
    <row r="52" spans="1:18" x14ac:dyDescent="0.3">
      <c r="A52" s="10">
        <v>51</v>
      </c>
      <c r="B52" s="9">
        <v>1.1870464103747846</v>
      </c>
      <c r="C52" s="9">
        <v>290.22357688612101</v>
      </c>
      <c r="D52" s="9">
        <v>32.695466049090491</v>
      </c>
      <c r="E52" s="9">
        <v>9.9008751392579392E-2</v>
      </c>
      <c r="F52" s="9">
        <v>100000</v>
      </c>
      <c r="G52" s="9">
        <v>3.7002969622742872</v>
      </c>
      <c r="H52" s="9">
        <v>0.4887805145052076</v>
      </c>
      <c r="I52" s="9">
        <v>805.05636380969213</v>
      </c>
      <c r="J52" s="9">
        <v>329.80270735841611</v>
      </c>
      <c r="K52" s="9">
        <v>4.801509355449967E-2</v>
      </c>
      <c r="L52" s="9">
        <v>155514.42473651766</v>
      </c>
      <c r="M52" s="9">
        <v>0.1058522475296771</v>
      </c>
      <c r="N52" s="9">
        <v>0.51242302114556815</v>
      </c>
      <c r="O52" s="9">
        <v>227.01566385598016</v>
      </c>
      <c r="P52" s="9">
        <v>1456.8084740338891</v>
      </c>
      <c r="Q52" s="9">
        <v>1456.8487721788697</v>
      </c>
      <c r="R52" s="9" t="s">
        <v>28</v>
      </c>
    </row>
    <row r="53" spans="1:18" x14ac:dyDescent="0.3">
      <c r="A53" s="10">
        <v>52</v>
      </c>
      <c r="B53" s="9">
        <v>1.1856199881393736</v>
      </c>
      <c r="C53" s="9">
        <v>290.47484811468985</v>
      </c>
      <c r="D53" s="9">
        <v>39.232710484223418</v>
      </c>
      <c r="E53" s="9">
        <v>9.5577383531499416E-2</v>
      </c>
      <c r="F53" s="9">
        <v>100000</v>
      </c>
      <c r="G53" s="9">
        <v>3.2327850229315636</v>
      </c>
      <c r="H53" s="9">
        <v>0.48726221587190049</v>
      </c>
      <c r="I53" s="9">
        <v>798.3167268978118</v>
      </c>
      <c r="J53" s="9">
        <v>301.54399409122584</v>
      </c>
      <c r="K53" s="9">
        <v>4.7956804446013725E-2</v>
      </c>
      <c r="L53" s="9">
        <v>158596.12041252706</v>
      </c>
      <c r="M53" s="9">
        <v>0.10384985339309792</v>
      </c>
      <c r="N53" s="9">
        <v>0.52854805954770712</v>
      </c>
      <c r="O53" s="9">
        <v>226.95338602090402</v>
      </c>
      <c r="P53" s="9">
        <v>1373.8940815548922</v>
      </c>
      <c r="Q53" s="9">
        <v>1373.8852368296357</v>
      </c>
      <c r="R53" s="9" t="s">
        <v>28</v>
      </c>
    </row>
    <row r="54" spans="1:18" x14ac:dyDescent="0.3">
      <c r="A54" s="10">
        <v>53</v>
      </c>
      <c r="B54" s="9">
        <v>1.1838293033943352</v>
      </c>
      <c r="C54" s="9">
        <v>290.80770057379868</v>
      </c>
      <c r="D54" s="9">
        <v>38.005181950046698</v>
      </c>
      <c r="E54" s="9">
        <v>9.3194112630156326E-2</v>
      </c>
      <c r="F54" s="9">
        <v>100000</v>
      </c>
      <c r="G54" s="9">
        <v>3.732504022608683</v>
      </c>
      <c r="H54" s="9">
        <v>0.48817203094400974</v>
      </c>
      <c r="I54" s="9">
        <v>790.95284102035862</v>
      </c>
      <c r="J54" s="9">
        <v>302.95694932011833</v>
      </c>
      <c r="K54" s="9">
        <v>4.3462863644308292E-2</v>
      </c>
      <c r="L54" s="9">
        <v>166231.29488071662</v>
      </c>
      <c r="M54" s="9">
        <v>0.10448890625593517</v>
      </c>
      <c r="N54" s="9">
        <v>0.52475128863284837</v>
      </c>
      <c r="O54" s="9">
        <v>230.18030349894772</v>
      </c>
      <c r="P54" s="9">
        <v>1431.663008728814</v>
      </c>
      <c r="Q54" s="9">
        <v>1431.6111452112673</v>
      </c>
      <c r="R54" s="9" t="s">
        <v>28</v>
      </c>
    </row>
    <row r="55" spans="1:18" x14ac:dyDescent="0.3">
      <c r="A55" s="10">
        <v>54</v>
      </c>
      <c r="B55" s="9">
        <v>1.1847706599581183</v>
      </c>
      <c r="C55" s="9">
        <v>291.30020378406692</v>
      </c>
      <c r="D55" s="9">
        <v>40.566697071274987</v>
      </c>
      <c r="E55" s="9">
        <v>9.2664736197040173E-2</v>
      </c>
      <c r="F55" s="9">
        <v>100000</v>
      </c>
      <c r="G55" s="9">
        <v>4.674194748345684</v>
      </c>
      <c r="H55" s="9">
        <v>0.48061953636868793</v>
      </c>
      <c r="I55" s="9">
        <v>802.05496963422922</v>
      </c>
      <c r="J55" s="9">
        <v>364.32274868783804</v>
      </c>
      <c r="K55" s="9">
        <v>5.6689317314813123E-2</v>
      </c>
      <c r="L55" s="9">
        <v>156359.34260340268</v>
      </c>
      <c r="M55" s="9">
        <v>0.10681913188817137</v>
      </c>
      <c r="N55" s="9">
        <v>0.5261682485586392</v>
      </c>
      <c r="O55" s="9">
        <v>228.19439659883705</v>
      </c>
      <c r="P55" s="9">
        <v>1599.2979587343798</v>
      </c>
      <c r="Q55" s="9">
        <v>1599.1758983874461</v>
      </c>
      <c r="R55" s="9" t="s">
        <v>28</v>
      </c>
    </row>
    <row r="56" spans="1:18" x14ac:dyDescent="0.3">
      <c r="A56" s="10">
        <v>55</v>
      </c>
      <c r="B56" s="9">
        <v>1.1853984275808076</v>
      </c>
      <c r="C56" s="9">
        <v>290.45754940099738</v>
      </c>
      <c r="D56" s="9">
        <v>38.817505183373882</v>
      </c>
      <c r="E56" s="9">
        <v>9.4416664198918129E-2</v>
      </c>
      <c r="F56" s="9">
        <v>100000</v>
      </c>
      <c r="G56" s="9">
        <v>3.8126402534353154</v>
      </c>
      <c r="H56" s="9">
        <v>0.48800216864497897</v>
      </c>
      <c r="I56" s="9">
        <v>804.49891601461957</v>
      </c>
      <c r="J56" s="9">
        <v>352.69148332838307</v>
      </c>
      <c r="K56" s="9">
        <v>4.2605008938684588E-2</v>
      </c>
      <c r="L56" s="9">
        <v>165006.68650057647</v>
      </c>
      <c r="M56" s="9">
        <v>0.10720501243139417</v>
      </c>
      <c r="N56" s="9">
        <v>0.52487032639588282</v>
      </c>
      <c r="O56" s="9">
        <v>227.08332013695053</v>
      </c>
      <c r="P56" s="9">
        <v>1601.033326597586</v>
      </c>
      <c r="Q56" s="9">
        <v>1600.789110764279</v>
      </c>
      <c r="R56" s="9" t="s">
        <v>28</v>
      </c>
    </row>
    <row r="57" spans="1:18" x14ac:dyDescent="0.3">
      <c r="A57" s="10">
        <v>56</v>
      </c>
      <c r="B57" s="9">
        <v>1.1866542628338048</v>
      </c>
      <c r="C57" s="9">
        <v>290.33775505714618</v>
      </c>
      <c r="D57" s="9">
        <v>38.043976523282566</v>
      </c>
      <c r="E57" s="9">
        <v>9.7659172666860111E-2</v>
      </c>
      <c r="F57" s="9">
        <v>100000</v>
      </c>
      <c r="G57" s="9">
        <v>3.7984958482894959</v>
      </c>
      <c r="H57" s="9">
        <v>0.48822791632994694</v>
      </c>
      <c r="I57" s="9">
        <v>791.1349538273314</v>
      </c>
      <c r="J57" s="9">
        <v>364.0652135848058</v>
      </c>
      <c r="K57" s="9">
        <v>5.429159305338857E-2</v>
      </c>
      <c r="L57" s="9">
        <v>166009.62551581167</v>
      </c>
      <c r="M57" s="9">
        <v>0.10685320225891637</v>
      </c>
      <c r="N57" s="9">
        <v>0.51587754696031984</v>
      </c>
      <c r="O57" s="9">
        <v>229.18000872741098</v>
      </c>
      <c r="P57" s="9">
        <v>1626.5472300109031</v>
      </c>
      <c r="Q57" s="9">
        <v>1626.2772139094886</v>
      </c>
      <c r="R57" s="9" t="s">
        <v>28</v>
      </c>
    </row>
    <row r="58" spans="1:18" x14ac:dyDescent="0.3">
      <c r="A58" s="10">
        <v>57</v>
      </c>
      <c r="B58" s="9">
        <v>1.1845989943015098</v>
      </c>
      <c r="C58" s="9">
        <v>290.65853833693836</v>
      </c>
      <c r="D58" s="9">
        <v>37.115261626297837</v>
      </c>
      <c r="E58" s="9">
        <v>9.6600788981269572E-2</v>
      </c>
      <c r="F58" s="9">
        <v>100000</v>
      </c>
      <c r="G58" s="9">
        <v>4.1572141171009793</v>
      </c>
      <c r="H58" s="9">
        <v>0.48722254793906405</v>
      </c>
      <c r="I58" s="9">
        <v>800.09823779040062</v>
      </c>
      <c r="J58" s="9">
        <v>357.40154002966398</v>
      </c>
      <c r="K58" s="9">
        <v>4.7547776044972401E-2</v>
      </c>
      <c r="L58" s="9">
        <v>165913.24427774531</v>
      </c>
      <c r="M58" s="9">
        <v>0.10708583579982202</v>
      </c>
      <c r="N58" s="9">
        <v>0.52785126940377058</v>
      </c>
      <c r="O58" s="9">
        <v>227.20443916543621</v>
      </c>
      <c r="P58" s="9">
        <v>1616.6684424464402</v>
      </c>
      <c r="Q58" s="9">
        <v>1616.4191008279449</v>
      </c>
      <c r="R58" s="9" t="s">
        <v>28</v>
      </c>
    </row>
    <row r="59" spans="1:18" x14ac:dyDescent="0.3">
      <c r="A59" s="10">
        <v>58</v>
      </c>
      <c r="B59" s="9">
        <v>1.1846116438904937</v>
      </c>
      <c r="C59" s="9">
        <v>290.96814966394862</v>
      </c>
      <c r="D59" s="9">
        <v>35.998809361059735</v>
      </c>
      <c r="E59" s="9">
        <v>9.3634091308436876E-2</v>
      </c>
      <c r="F59" s="9">
        <v>100000</v>
      </c>
      <c r="G59" s="9">
        <v>4.2249679885689959</v>
      </c>
      <c r="H59" s="9">
        <v>0.48166474255195668</v>
      </c>
      <c r="I59" s="9">
        <v>797.99835752713318</v>
      </c>
      <c r="J59" s="9">
        <v>356.86372246852625</v>
      </c>
      <c r="K59" s="9">
        <v>4.7352084731435207E-2</v>
      </c>
      <c r="L59" s="9">
        <v>161190.41298442151</v>
      </c>
      <c r="M59" s="9">
        <v>0.10414464783863064</v>
      </c>
      <c r="N59" s="9">
        <v>0.52218041771642676</v>
      </c>
      <c r="O59" s="9">
        <v>227.47148250477966</v>
      </c>
      <c r="P59" s="9">
        <v>1572.8270625226942</v>
      </c>
      <c r="Q59" s="9">
        <v>1572.6448586648912</v>
      </c>
      <c r="R59" s="9" t="s">
        <v>28</v>
      </c>
    </row>
    <row r="60" spans="1:18" x14ac:dyDescent="0.3">
      <c r="A60" s="10">
        <v>59</v>
      </c>
      <c r="B60" s="9">
        <v>1.1854763055774127</v>
      </c>
      <c r="C60" s="9">
        <v>291.15935510823039</v>
      </c>
      <c r="D60" s="9">
        <v>37.57249674913988</v>
      </c>
      <c r="E60" s="9">
        <v>9.455218596182452E-2</v>
      </c>
      <c r="F60" s="9">
        <v>100000</v>
      </c>
      <c r="G60" s="9">
        <v>3.6092959349867275</v>
      </c>
      <c r="H60" s="9">
        <v>0.48301579650551912</v>
      </c>
      <c r="I60" s="9">
        <v>791.85281898463279</v>
      </c>
      <c r="J60" s="9">
        <v>307.82462978855472</v>
      </c>
      <c r="K60" s="9">
        <v>4.4767189190303001E-2</v>
      </c>
      <c r="L60" s="9">
        <v>160867.54331555421</v>
      </c>
      <c r="M60" s="9">
        <v>0.1040176305707089</v>
      </c>
      <c r="N60" s="9">
        <v>0.52089580248991163</v>
      </c>
      <c r="O60" s="9">
        <v>228.57435504211705</v>
      </c>
      <c r="P60" s="9">
        <v>1381.0783917584267</v>
      </c>
      <c r="Q60" s="9">
        <v>1381.0483529370977</v>
      </c>
      <c r="R60" s="9" t="s">
        <v>28</v>
      </c>
    </row>
    <row r="61" spans="1:18" x14ac:dyDescent="0.3">
      <c r="A61" s="10">
        <v>60</v>
      </c>
      <c r="B61" s="9">
        <v>1.1854763055774127</v>
      </c>
      <c r="C61" s="9">
        <v>291.15935510823039</v>
      </c>
      <c r="D61" s="9">
        <v>37.57249674913988</v>
      </c>
      <c r="E61" s="9">
        <v>9.455218596182452E-2</v>
      </c>
      <c r="F61" s="9">
        <v>100000</v>
      </c>
      <c r="G61" s="9">
        <v>3.6092959349867275</v>
      </c>
      <c r="H61" s="9">
        <v>0.48301579650551912</v>
      </c>
      <c r="I61" s="9">
        <v>791.85281898463279</v>
      </c>
      <c r="J61" s="9">
        <v>307.82462978855472</v>
      </c>
      <c r="K61" s="9">
        <v>4.4767189190303001E-2</v>
      </c>
      <c r="L61" s="9">
        <v>160867.54331555421</v>
      </c>
      <c r="M61" s="9">
        <v>0.1040176305707089</v>
      </c>
      <c r="N61" s="9">
        <v>0.52089580248991163</v>
      </c>
      <c r="O61" s="9">
        <v>228.57435504211705</v>
      </c>
      <c r="P61" s="9">
        <v>1381.0783917584267</v>
      </c>
      <c r="Q61" s="9">
        <v>1381.0483529370977</v>
      </c>
      <c r="R61" s="9" t="s">
        <v>28</v>
      </c>
    </row>
    <row r="63" spans="1:18" x14ac:dyDescent="0.3">
      <c r="A63" s="10" t="s">
        <v>23</v>
      </c>
    </row>
    <row r="64" spans="1:18" x14ac:dyDescent="0.3">
      <c r="A64" s="10">
        <f t="array" ref="A64:A123">AVERAGE('Coeficiente de Acerto'!$P$2:$P$61)</f>
        <v>1478.457326257176</v>
      </c>
    </row>
    <row r="65" spans="1:1" x14ac:dyDescent="0.3">
      <c r="A65" s="10">
        <v>1478.457326257176</v>
      </c>
    </row>
    <row r="66" spans="1:1" x14ac:dyDescent="0.3">
      <c r="A66" s="10">
        <v>1478.457326257176</v>
      </c>
    </row>
    <row r="67" spans="1:1" x14ac:dyDescent="0.3">
      <c r="A67" s="10">
        <v>1478.457326257176</v>
      </c>
    </row>
    <row r="68" spans="1:1" x14ac:dyDescent="0.3">
      <c r="A68" s="10">
        <v>1478.457326257176</v>
      </c>
    </row>
    <row r="69" spans="1:1" x14ac:dyDescent="0.3">
      <c r="A69" s="10">
        <v>1478.457326257176</v>
      </c>
    </row>
    <row r="70" spans="1:1" x14ac:dyDescent="0.3">
      <c r="A70" s="10">
        <v>1478.457326257176</v>
      </c>
    </row>
    <row r="71" spans="1:1" x14ac:dyDescent="0.3">
      <c r="A71" s="10">
        <v>1478.457326257176</v>
      </c>
    </row>
    <row r="72" spans="1:1" x14ac:dyDescent="0.3">
      <c r="A72" s="10">
        <v>1478.457326257176</v>
      </c>
    </row>
    <row r="73" spans="1:1" x14ac:dyDescent="0.3">
      <c r="A73" s="10">
        <v>1478.457326257176</v>
      </c>
    </row>
    <row r="74" spans="1:1" x14ac:dyDescent="0.3">
      <c r="A74" s="10">
        <v>1478.457326257176</v>
      </c>
    </row>
    <row r="75" spans="1:1" x14ac:dyDescent="0.3">
      <c r="A75" s="10">
        <v>1478.457326257176</v>
      </c>
    </row>
    <row r="76" spans="1:1" x14ac:dyDescent="0.3">
      <c r="A76" s="10">
        <v>1478.457326257176</v>
      </c>
    </row>
    <row r="77" spans="1:1" x14ac:dyDescent="0.3">
      <c r="A77" s="10">
        <v>1478.457326257176</v>
      </c>
    </row>
    <row r="78" spans="1:1" x14ac:dyDescent="0.3">
      <c r="A78" s="10">
        <v>1478.457326257176</v>
      </c>
    </row>
    <row r="79" spans="1:1" x14ac:dyDescent="0.3">
      <c r="A79" s="10">
        <v>1478.457326257176</v>
      </c>
    </row>
    <row r="80" spans="1:1" x14ac:dyDescent="0.3">
      <c r="A80" s="10">
        <v>1478.457326257176</v>
      </c>
    </row>
    <row r="81" spans="1:1" x14ac:dyDescent="0.3">
      <c r="A81" s="10">
        <v>1478.457326257176</v>
      </c>
    </row>
    <row r="82" spans="1:1" x14ac:dyDescent="0.3">
      <c r="A82" s="10">
        <v>1478.457326257176</v>
      </c>
    </row>
    <row r="83" spans="1:1" x14ac:dyDescent="0.3">
      <c r="A83" s="10">
        <v>1478.457326257176</v>
      </c>
    </row>
    <row r="84" spans="1:1" x14ac:dyDescent="0.3">
      <c r="A84" s="10">
        <v>1478.457326257176</v>
      </c>
    </row>
    <row r="85" spans="1:1" x14ac:dyDescent="0.3">
      <c r="A85" s="10">
        <v>1478.457326257176</v>
      </c>
    </row>
    <row r="86" spans="1:1" x14ac:dyDescent="0.3">
      <c r="A86" s="10">
        <v>1478.457326257176</v>
      </c>
    </row>
    <row r="87" spans="1:1" x14ac:dyDescent="0.3">
      <c r="A87" s="10">
        <v>1478.457326257176</v>
      </c>
    </row>
    <row r="88" spans="1:1" x14ac:dyDescent="0.3">
      <c r="A88" s="10">
        <v>1478.457326257176</v>
      </c>
    </row>
    <row r="89" spans="1:1" x14ac:dyDescent="0.3">
      <c r="A89" s="10">
        <v>1478.457326257176</v>
      </c>
    </row>
    <row r="90" spans="1:1" x14ac:dyDescent="0.3">
      <c r="A90" s="10">
        <v>1478.457326257176</v>
      </c>
    </row>
    <row r="91" spans="1:1" x14ac:dyDescent="0.3">
      <c r="A91" s="10">
        <v>1478.457326257176</v>
      </c>
    </row>
    <row r="92" spans="1:1" x14ac:dyDescent="0.3">
      <c r="A92" s="10">
        <v>1478.457326257176</v>
      </c>
    </row>
    <row r="93" spans="1:1" x14ac:dyDescent="0.3">
      <c r="A93" s="10">
        <v>1478.457326257176</v>
      </c>
    </row>
    <row r="94" spans="1:1" x14ac:dyDescent="0.3">
      <c r="A94" s="10">
        <v>1478.457326257176</v>
      </c>
    </row>
    <row r="95" spans="1:1" x14ac:dyDescent="0.3">
      <c r="A95" s="10">
        <v>1478.457326257176</v>
      </c>
    </row>
    <row r="96" spans="1:1" x14ac:dyDescent="0.3">
      <c r="A96" s="10">
        <v>1478.457326257176</v>
      </c>
    </row>
    <row r="97" spans="1:1" x14ac:dyDescent="0.3">
      <c r="A97" s="10">
        <v>1478.457326257176</v>
      </c>
    </row>
    <row r="98" spans="1:1" x14ac:dyDescent="0.3">
      <c r="A98" s="10">
        <v>1478.457326257176</v>
      </c>
    </row>
    <row r="99" spans="1:1" x14ac:dyDescent="0.3">
      <c r="A99" s="10">
        <v>1478.457326257176</v>
      </c>
    </row>
    <row r="100" spans="1:1" x14ac:dyDescent="0.3">
      <c r="A100" s="10">
        <v>1478.457326257176</v>
      </c>
    </row>
    <row r="101" spans="1:1" x14ac:dyDescent="0.3">
      <c r="A101" s="10">
        <v>1478.457326257176</v>
      </c>
    </row>
    <row r="102" spans="1:1" x14ac:dyDescent="0.3">
      <c r="A102" s="10">
        <v>1478.457326257176</v>
      </c>
    </row>
    <row r="103" spans="1:1" x14ac:dyDescent="0.3">
      <c r="A103" s="10">
        <v>1478.457326257176</v>
      </c>
    </row>
    <row r="104" spans="1:1" x14ac:dyDescent="0.3">
      <c r="A104" s="10">
        <v>1478.457326257176</v>
      </c>
    </row>
    <row r="105" spans="1:1" x14ac:dyDescent="0.3">
      <c r="A105" s="10">
        <v>1478.457326257176</v>
      </c>
    </row>
    <row r="106" spans="1:1" x14ac:dyDescent="0.3">
      <c r="A106" s="10">
        <v>1478.457326257176</v>
      </c>
    </row>
    <row r="107" spans="1:1" x14ac:dyDescent="0.3">
      <c r="A107" s="10">
        <v>1478.457326257176</v>
      </c>
    </row>
    <row r="108" spans="1:1" x14ac:dyDescent="0.3">
      <c r="A108" s="10">
        <v>1478.457326257176</v>
      </c>
    </row>
    <row r="109" spans="1:1" x14ac:dyDescent="0.3">
      <c r="A109" s="10">
        <v>1478.457326257176</v>
      </c>
    </row>
    <row r="110" spans="1:1" x14ac:dyDescent="0.3">
      <c r="A110" s="10">
        <v>1478.457326257176</v>
      </c>
    </row>
    <row r="111" spans="1:1" x14ac:dyDescent="0.3">
      <c r="A111" s="10">
        <v>1478.457326257176</v>
      </c>
    </row>
    <row r="112" spans="1:1" x14ac:dyDescent="0.3">
      <c r="A112" s="10">
        <v>1478.457326257176</v>
      </c>
    </row>
    <row r="113" spans="1:2" x14ac:dyDescent="0.3">
      <c r="A113" s="10">
        <v>1478.457326257176</v>
      </c>
    </row>
    <row r="114" spans="1:2" x14ac:dyDescent="0.3">
      <c r="A114" s="10">
        <v>1478.457326257176</v>
      </c>
    </row>
    <row r="115" spans="1:2" x14ac:dyDescent="0.3">
      <c r="A115" s="10">
        <v>1478.457326257176</v>
      </c>
    </row>
    <row r="116" spans="1:2" x14ac:dyDescent="0.3">
      <c r="A116" s="10">
        <v>1478.457326257176</v>
      </c>
    </row>
    <row r="117" spans="1:2" x14ac:dyDescent="0.3">
      <c r="A117" s="10">
        <v>1478.457326257176</v>
      </c>
    </row>
    <row r="118" spans="1:2" x14ac:dyDescent="0.3">
      <c r="A118" s="10">
        <v>1478.457326257176</v>
      </c>
    </row>
    <row r="119" spans="1:2" x14ac:dyDescent="0.3">
      <c r="A119" s="10">
        <v>1478.457326257176</v>
      </c>
    </row>
    <row r="120" spans="1:2" x14ac:dyDescent="0.3">
      <c r="A120" s="10">
        <v>1478.457326257176</v>
      </c>
    </row>
    <row r="121" spans="1:2" x14ac:dyDescent="0.3">
      <c r="A121" s="10">
        <v>1478.457326257176</v>
      </c>
    </row>
    <row r="122" spans="1:2" x14ac:dyDescent="0.3">
      <c r="A122" s="10">
        <v>1478.457326257176</v>
      </c>
    </row>
    <row r="123" spans="1:2" x14ac:dyDescent="0.3">
      <c r="A123" s="10">
        <v>1478.457326257176</v>
      </c>
    </row>
    <row r="125" spans="1:2" x14ac:dyDescent="0.3">
      <c r="A125" s="10" t="s">
        <v>24</v>
      </c>
      <c r="B125" s="9">
        <f>1-SUMXMY2('Coeficiente de Acerto'!$Q$2:$Q$61,'Coeficiente de Acerto'!$P$2:$P$61)/SUMXMY2('Coeficiente de Acerto'!$P$2:$P$61,'Coeficiente de Acerto'!$A$64:$A$123)</f>
        <v>0.99999934127938772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"/>
  <dimension ref="A1:Q1"/>
  <sheetViews>
    <sheetView workbookViewId="0">
      <selection activeCell="A2" sqref="A2"/>
    </sheetView>
  </sheetViews>
  <sheetFormatPr defaultRowHeight="14.4" x14ac:dyDescent="0.3"/>
  <cols>
    <col min="16" max="16" width="17.88671875" bestFit="1" customWidth="1"/>
    <col min="17" max="17" width="12.109375" bestFit="1" customWidth="1"/>
  </cols>
  <sheetData>
    <row r="1" spans="1:17" x14ac:dyDescent="0.3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68</v>
      </c>
      <c r="Q1" t="s">
        <v>44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3"/>
  <dimension ref="A1:HC16"/>
  <sheetViews>
    <sheetView topLeftCell="I1" zoomScale="70" zoomScaleNormal="70" workbookViewId="0">
      <selection activeCell="P3" sqref="P3:HC16"/>
    </sheetView>
  </sheetViews>
  <sheetFormatPr defaultRowHeight="14.4" x14ac:dyDescent="0.3"/>
  <sheetData>
    <row r="1" spans="1:211" x14ac:dyDescent="0.3">
      <c r="P1" s="11" t="s">
        <v>0</v>
      </c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 t="s">
        <v>1</v>
      </c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 t="s">
        <v>21</v>
      </c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 t="s">
        <v>45</v>
      </c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 t="s">
        <v>46</v>
      </c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 t="s">
        <v>47</v>
      </c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 t="s">
        <v>48</v>
      </c>
      <c r="CW1" s="11"/>
      <c r="CX1" s="11"/>
      <c r="CY1" s="11"/>
      <c r="CZ1" s="11"/>
      <c r="DA1" s="11"/>
      <c r="DB1" s="11"/>
      <c r="DC1" s="11"/>
      <c r="DD1" s="11"/>
      <c r="DE1" s="11"/>
      <c r="DF1" s="11"/>
      <c r="DG1" s="11"/>
      <c r="DH1" s="11"/>
      <c r="DI1" s="11"/>
      <c r="DJ1" s="11" t="s">
        <v>49</v>
      </c>
      <c r="DK1" s="11"/>
      <c r="DL1" s="11"/>
      <c r="DM1" s="11"/>
      <c r="DN1" s="11"/>
      <c r="DO1" s="11"/>
      <c r="DP1" s="11"/>
      <c r="DQ1" s="11"/>
      <c r="DR1" s="11"/>
      <c r="DS1" s="11"/>
      <c r="DT1" s="11"/>
      <c r="DU1" s="11"/>
      <c r="DV1" s="11"/>
      <c r="DW1" s="11"/>
      <c r="DX1" s="11" t="s">
        <v>50</v>
      </c>
      <c r="DY1" s="11"/>
      <c r="DZ1" s="11"/>
      <c r="EA1" s="11"/>
      <c r="EB1" s="11"/>
      <c r="EC1" s="11"/>
      <c r="ED1" s="11"/>
      <c r="EE1" s="11"/>
      <c r="EF1" s="11"/>
      <c r="EG1" s="11"/>
      <c r="EH1" s="11"/>
      <c r="EI1" s="11"/>
      <c r="EJ1" s="11"/>
      <c r="EK1" s="11"/>
      <c r="EL1" s="11" t="s">
        <v>51</v>
      </c>
      <c r="EM1" s="11"/>
      <c r="EN1" s="11"/>
      <c r="EO1" s="11"/>
      <c r="EP1" s="11"/>
      <c r="EQ1" s="11"/>
      <c r="ER1" s="11"/>
      <c r="ES1" s="11"/>
      <c r="ET1" s="11"/>
      <c r="EU1" s="11"/>
      <c r="EV1" s="11"/>
      <c r="EW1" s="11"/>
      <c r="EX1" s="11"/>
      <c r="EY1" s="11"/>
      <c r="EZ1" s="11" t="s">
        <v>52</v>
      </c>
      <c r="FA1" s="11"/>
      <c r="FB1" s="11"/>
      <c r="FC1" s="11"/>
      <c r="FD1" s="11"/>
      <c r="FE1" s="11"/>
      <c r="FF1" s="11"/>
      <c r="FG1" s="11"/>
      <c r="FH1" s="11"/>
      <c r="FI1" s="11"/>
      <c r="FJ1" s="11"/>
      <c r="FK1" s="11"/>
      <c r="FL1" s="11"/>
      <c r="FM1" s="11"/>
      <c r="FN1" s="11" t="s">
        <v>53</v>
      </c>
      <c r="FO1" s="11"/>
      <c r="FP1" s="11"/>
      <c r="FQ1" s="11"/>
      <c r="FR1" s="11"/>
      <c r="FS1" s="11"/>
      <c r="FT1" s="11"/>
      <c r="FU1" s="11"/>
      <c r="FV1" s="11"/>
      <c r="FW1" s="11"/>
      <c r="FX1" s="11"/>
      <c r="FY1" s="11"/>
      <c r="FZ1" s="11"/>
      <c r="GA1" s="11"/>
      <c r="GB1" s="11" t="s">
        <v>54</v>
      </c>
      <c r="GC1" s="11"/>
      <c r="GD1" s="11"/>
      <c r="GE1" s="11"/>
      <c r="GF1" s="11"/>
      <c r="GG1" s="11"/>
      <c r="GH1" s="11"/>
      <c r="GI1" s="11"/>
      <c r="GJ1" s="11"/>
      <c r="GK1" s="11"/>
      <c r="GL1" s="11"/>
      <c r="GM1" s="11"/>
      <c r="GN1" s="11"/>
      <c r="GO1" s="11"/>
      <c r="GP1" s="11" t="s">
        <v>55</v>
      </c>
      <c r="GQ1" s="11"/>
      <c r="GR1" s="11"/>
      <c r="GS1" s="11"/>
      <c r="GT1" s="11"/>
      <c r="GU1" s="11"/>
      <c r="GV1" s="11"/>
      <c r="GW1" s="11"/>
      <c r="GX1" s="11"/>
      <c r="GY1" s="11"/>
      <c r="GZ1" s="11"/>
      <c r="HA1" s="11"/>
      <c r="HB1" s="11"/>
      <c r="HC1" s="11"/>
    </row>
    <row r="2" spans="1:211" x14ac:dyDescent="0.3"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69431.040457569863</v>
      </c>
      <c r="AE2">
        <v>29800.119836257545</v>
      </c>
      <c r="AF2">
        <v>95837.959723739375</v>
      </c>
      <c r="AG2">
        <v>43809.740898685544</v>
      </c>
      <c r="AH2">
        <v>198419.77308075249</v>
      </c>
      <c r="AI2">
        <v>26041.246529231048</v>
      </c>
      <c r="AJ2">
        <v>5767.6736830478512</v>
      </c>
      <c r="AK2">
        <v>68964.852859229155</v>
      </c>
      <c r="AL2">
        <v>109353.7701652909</v>
      </c>
      <c r="AM2">
        <v>184287.67527342329</v>
      </c>
      <c r="AN2">
        <v>107472.42929652314</v>
      </c>
      <c r="AO2">
        <v>81150.735564338407</v>
      </c>
      <c r="AP2">
        <v>169170.74113915089</v>
      </c>
      <c r="AQ2">
        <v>164973.64839533434</v>
      </c>
      <c r="AR2">
        <v>134264.59511137122</v>
      </c>
      <c r="AS2">
        <v>144141.84294594542</v>
      </c>
      <c r="AT2">
        <v>199026.78929850974</v>
      </c>
      <c r="AU2">
        <v>67849.577787351809</v>
      </c>
      <c r="AV2">
        <v>98879.562749772333</v>
      </c>
      <c r="AW2">
        <v>82457.884125798577</v>
      </c>
      <c r="AX2">
        <v>138827.92795535724</v>
      </c>
      <c r="AY2">
        <v>35759.02823758516</v>
      </c>
      <c r="AZ2">
        <v>84444.706618320997</v>
      </c>
      <c r="BA2">
        <v>108456.94428714218</v>
      </c>
      <c r="BB2">
        <v>162665.13253825268</v>
      </c>
      <c r="BC2">
        <v>108005.00259917429</v>
      </c>
      <c r="BD2">
        <v>85366.203985361004</v>
      </c>
      <c r="BE2">
        <v>101646.3756132338</v>
      </c>
      <c r="BF2">
        <v>45481.48717465817</v>
      </c>
      <c r="BG2">
        <v>123634.08732749321</v>
      </c>
      <c r="BH2">
        <v>97805.156897794979</v>
      </c>
      <c r="BI2">
        <v>135940.19742323423</v>
      </c>
      <c r="BJ2">
        <v>177028.72341380391</v>
      </c>
      <c r="BK2">
        <v>73981.341328407812</v>
      </c>
      <c r="BL2">
        <v>60400.132994209125</v>
      </c>
      <c r="BM2">
        <v>58477.149318094242</v>
      </c>
      <c r="BN2">
        <v>30012.880186913302</v>
      </c>
      <c r="BO2">
        <v>105790.16223126934</v>
      </c>
      <c r="BP2">
        <v>44579.008157472614</v>
      </c>
      <c r="BQ2">
        <v>116713.81205223422</v>
      </c>
      <c r="BR2">
        <v>72572.329152176564</v>
      </c>
      <c r="BS2">
        <v>174907.13008664336</v>
      </c>
      <c r="BT2">
        <v>95445.786592072502</v>
      </c>
      <c r="BU2">
        <v>38064.057000481975</v>
      </c>
      <c r="BV2">
        <v>136587.71391918592</v>
      </c>
      <c r="BW2">
        <v>149237.59437509318</v>
      </c>
      <c r="BX2">
        <v>122585.2812693437</v>
      </c>
      <c r="BY2">
        <v>156170.77070870149</v>
      </c>
      <c r="BZ2">
        <v>32295.605828641637</v>
      </c>
      <c r="CA2">
        <v>161290.56285543746</v>
      </c>
      <c r="CB2">
        <v>40457.096212173288</v>
      </c>
      <c r="CC2">
        <v>191038.14215336111</v>
      </c>
      <c r="CD2">
        <v>13148.578628373431</v>
      </c>
      <c r="CE2">
        <v>12284.243423004824</v>
      </c>
      <c r="CF2">
        <v>158378.91061917963</v>
      </c>
      <c r="CG2">
        <v>75796.225084793085</v>
      </c>
      <c r="CH2">
        <v>92564.494687778817</v>
      </c>
      <c r="CI2">
        <v>23869.536636840799</v>
      </c>
      <c r="CJ2">
        <v>23056.091584149042</v>
      </c>
      <c r="CK2">
        <v>34697.594852029164</v>
      </c>
      <c r="CL2">
        <v>9607.9759948954415</v>
      </c>
      <c r="CM2">
        <v>142728.41537059279</v>
      </c>
      <c r="CN2">
        <v>106429.3477854825</v>
      </c>
      <c r="CO2">
        <v>112017.54118079254</v>
      </c>
      <c r="CP2">
        <v>43275.501407686701</v>
      </c>
      <c r="CQ2">
        <v>93447.372189188245</v>
      </c>
      <c r="CR2">
        <v>149025.7385266833</v>
      </c>
      <c r="CS2">
        <v>150215.00426254381</v>
      </c>
      <c r="CT2">
        <v>79655.391029005696</v>
      </c>
      <c r="CU2">
        <v>180323.05150814672</v>
      </c>
      <c r="CV2">
        <v>148956.28227527495</v>
      </c>
      <c r="CW2">
        <v>17682.81268300143</v>
      </c>
      <c r="CX2">
        <v>126705.74125051145</v>
      </c>
      <c r="CY2">
        <v>142371.3274049903</v>
      </c>
      <c r="CZ2">
        <v>3131.3352685565296</v>
      </c>
      <c r="DA2">
        <v>86087.22319013685</v>
      </c>
      <c r="DB2">
        <v>80264.454278161546</v>
      </c>
      <c r="DC2">
        <v>54968.656514345472</v>
      </c>
      <c r="DD2">
        <v>196751.03784515106</v>
      </c>
      <c r="DE2">
        <v>160253.78905742738</v>
      </c>
      <c r="DF2">
        <v>138991.45244033853</v>
      </c>
      <c r="DG2">
        <v>83382.642461461932</v>
      </c>
      <c r="DH2">
        <v>146656.32348549328</v>
      </c>
      <c r="DI2">
        <v>55342.62058764106</v>
      </c>
      <c r="DJ2">
        <v>71200.104034393429</v>
      </c>
      <c r="DK2">
        <v>86549.019192046835</v>
      </c>
      <c r="DL2">
        <v>188683.73470864573</v>
      </c>
      <c r="DM2">
        <v>24270.064512936842</v>
      </c>
      <c r="DN2">
        <v>128978.04131372132</v>
      </c>
      <c r="DO2">
        <v>69452.260556312336</v>
      </c>
      <c r="DP2">
        <v>20852.152848576166</v>
      </c>
      <c r="DQ2">
        <v>37019.594933381821</v>
      </c>
      <c r="DR2">
        <v>15511.424126935381</v>
      </c>
      <c r="DS2">
        <v>86409.725846179237</v>
      </c>
      <c r="DT2">
        <v>191539.01027202464</v>
      </c>
      <c r="DU2">
        <v>108227.77198126158</v>
      </c>
      <c r="DV2">
        <v>98712.920112311811</v>
      </c>
      <c r="DW2">
        <v>194273.66570037551</v>
      </c>
      <c r="DX2">
        <v>43488.416475831888</v>
      </c>
      <c r="DY2">
        <v>75673.736438546563</v>
      </c>
      <c r="DZ2">
        <v>79038.806129594508</v>
      </c>
      <c r="EA2">
        <v>56208.205434270443</v>
      </c>
      <c r="EB2">
        <v>100508.85692691468</v>
      </c>
      <c r="EC2">
        <v>27700.88913699218</v>
      </c>
      <c r="ED2">
        <v>103281.22771865025</v>
      </c>
      <c r="EE2">
        <v>192755.72051024079</v>
      </c>
      <c r="EF2">
        <v>111317.03989538406</v>
      </c>
      <c r="EG2">
        <v>181542.10631139501</v>
      </c>
      <c r="EH2">
        <v>131235.3456818019</v>
      </c>
      <c r="EI2">
        <v>88078.008830657724</v>
      </c>
      <c r="EJ2">
        <v>138371.22572925308</v>
      </c>
      <c r="EK2">
        <v>12877.049434425275</v>
      </c>
      <c r="EL2">
        <v>150970.10892037544</v>
      </c>
      <c r="EM2">
        <v>139872.71135878161</v>
      </c>
      <c r="EN2">
        <v>99250.884724402291</v>
      </c>
      <c r="EO2">
        <v>31036.074549889625</v>
      </c>
      <c r="EP2">
        <v>44674.004695982105</v>
      </c>
      <c r="EQ2">
        <v>65121.646619118437</v>
      </c>
      <c r="ER2">
        <v>156639.98124875873</v>
      </c>
      <c r="ES2">
        <v>10036.055485455212</v>
      </c>
      <c r="ET2">
        <v>103432.9936744349</v>
      </c>
      <c r="EU2">
        <v>151157.18616778596</v>
      </c>
      <c r="EV2">
        <v>159870.91087647161</v>
      </c>
      <c r="EW2">
        <v>64934.248035383716</v>
      </c>
      <c r="EX2">
        <v>194226.21503650214</v>
      </c>
      <c r="EY2">
        <v>160589.1927718191</v>
      </c>
      <c r="EZ2">
        <v>134743.50524788114</v>
      </c>
      <c r="FA2">
        <v>180728.48273852313</v>
      </c>
      <c r="FB2">
        <v>174868.20078603394</v>
      </c>
      <c r="FC2">
        <v>83192.792200587035</v>
      </c>
      <c r="FD2">
        <v>24576.131411063718</v>
      </c>
      <c r="FE2">
        <v>190518.10096735373</v>
      </c>
      <c r="FF2">
        <v>159197.50895440389</v>
      </c>
      <c r="FG2">
        <v>139028.23949878663</v>
      </c>
      <c r="FH2">
        <v>80188.975946010803</v>
      </c>
      <c r="FI2">
        <v>3254.1928565086137</v>
      </c>
      <c r="FJ2">
        <v>33497.451286527263</v>
      </c>
      <c r="FK2">
        <v>32792.879741012257</v>
      </c>
      <c r="FL2">
        <v>101776.54062722507</v>
      </c>
      <c r="FM2">
        <v>81079.137070768731</v>
      </c>
      <c r="FN2">
        <v>21191.888652671896</v>
      </c>
      <c r="FO2">
        <v>55133.942398437168</v>
      </c>
      <c r="FP2">
        <v>128398.08875526884</v>
      </c>
      <c r="FQ2">
        <v>169541.02769673619</v>
      </c>
      <c r="FR2">
        <v>99430.237998686702</v>
      </c>
      <c r="FS2">
        <v>37493.33988601387</v>
      </c>
      <c r="FT2">
        <v>179028.74449830916</v>
      </c>
      <c r="FU2">
        <v>74440.376218198755</v>
      </c>
      <c r="FV2">
        <v>64604.664078863607</v>
      </c>
      <c r="FW2">
        <v>153913.29972178611</v>
      </c>
      <c r="FX2">
        <v>43528.452601558012</v>
      </c>
      <c r="FY2">
        <v>89251.790916229962</v>
      </c>
      <c r="FZ2">
        <v>47128.014499853853</v>
      </c>
      <c r="GA2">
        <v>175388.3252814587</v>
      </c>
      <c r="GB2">
        <v>121886.00582250531</v>
      </c>
      <c r="GC2">
        <v>74763.426336126824</v>
      </c>
      <c r="GD2">
        <v>77772.407774580919</v>
      </c>
      <c r="GE2">
        <v>171835.10722191955</v>
      </c>
      <c r="GF2">
        <v>116995.07654667107</v>
      </c>
      <c r="GG2">
        <v>186005.82489487933</v>
      </c>
      <c r="GH2">
        <v>103268.56468720773</v>
      </c>
      <c r="GI2">
        <v>65951.64644317911</v>
      </c>
      <c r="GJ2">
        <v>173405.40643020804</v>
      </c>
      <c r="GK2">
        <v>51727.087083898004</v>
      </c>
      <c r="GL2">
        <v>51823.000025998736</v>
      </c>
      <c r="GM2">
        <v>35680.003304522892</v>
      </c>
      <c r="GN2">
        <v>69277.441694602749</v>
      </c>
      <c r="GO2">
        <v>500.3167554325023</v>
      </c>
      <c r="GP2">
        <v>148224.51615565646</v>
      </c>
      <c r="GQ2">
        <v>167901.14132224064</v>
      </c>
      <c r="GR2">
        <v>55626.360561908783</v>
      </c>
      <c r="GS2">
        <v>140363.07058950927</v>
      </c>
      <c r="GT2">
        <v>80839.908128075243</v>
      </c>
      <c r="GU2">
        <v>162047.6312352503</v>
      </c>
      <c r="GV2">
        <v>148112.42928523771</v>
      </c>
      <c r="GW2">
        <v>87388.992343503021</v>
      </c>
      <c r="GX2">
        <v>15570.502405206633</v>
      </c>
      <c r="GY2">
        <v>81991.422796515035</v>
      </c>
      <c r="GZ2">
        <v>67763.542961883868</v>
      </c>
      <c r="HA2">
        <v>141877.39777066041</v>
      </c>
      <c r="HB2">
        <v>62355.024177182437</v>
      </c>
      <c r="HC2">
        <v>159492.26957445711</v>
      </c>
    </row>
    <row r="3" spans="1:211" x14ac:dyDescent="0.3">
      <c r="A3" t="s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s="11">
        <f>SQRT(SUMXMY2('Coordenadas dos Polos'!$B$3:$O$3,'Coordenadas dos Polos'!$P$2:$AC$2))</f>
        <v>0</v>
      </c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>
        <f>SQRT(SUMXMY2('Coordenadas dos Polos'!$B$3:$O$3,'Coordenadas dos Polos'!$AD$2:$AQ$2))</f>
        <v>426077.33790208807</v>
      </c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>
        <f>SQRT(SUMXMY2('Coordenadas dos Polos'!$B$3:$O$3,'Coordenadas dos Polos'!$AR$2:$BE$2))</f>
        <v>441345.29605050036</v>
      </c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>
        <f>SQRT(SUMXMY2('Coordenadas dos Polos'!$B$3:$O$3,'Coordenadas dos Polos'!$BF$2:$BS$2))</f>
        <v>390948.43708649068</v>
      </c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>
        <f>SQRT(SUMXMY2('Coordenadas dos Polos'!$B$3:$O$3,'Coordenadas dos Polos'!$BT$2:$CG$2))</f>
        <v>432719.34279105213</v>
      </c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>
        <f>SQRT(SUMXMY2('Coordenadas dos Polos'!$B$3:$O$3,'Coordenadas dos Polos'!$CH$2:$CU$2))</f>
        <v>386590.32466970844</v>
      </c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>
        <f>SQRT(SUMXMY2('Coordenadas dos Polos'!$B$3:$O$3,'Coordenadas dos Polos'!$CV$2:$DI$2))</f>
        <v>436971.12752537359</v>
      </c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>
        <f>SQRT(SUMXMY2('Coordenadas dos Polos'!$B$3:$O$3,'Coordenadas dos Polos'!$DJ$2:$DW$2))</f>
        <v>419057.48472336057</v>
      </c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>
        <f>SQRT(SUMXMY2('Coordenadas dos Polos'!$B$3:$O$3,'Coordenadas dos Polos'!$DX$2:$EK$2))</f>
        <v>406641.47255008784</v>
      </c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>
        <f>SQRT(SUMXMY2('Coordenadas dos Polos'!$B$3:$O$3,'Coordenadas dos Polos'!$EL$2:$EY$2))</f>
        <v>459215.07179875142</v>
      </c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>
        <f>SQRT(SUMXMY2('Coordenadas dos Polos'!$B$3:$O$3,'Coordenadas dos Polos'!$EZ$2:$FM$2))</f>
        <v>442111.9324283094</v>
      </c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>
        <f>SQRT(SUMXMY2('Coordenadas dos Polos'!$B$3:$O$3,'Coordenadas dos Polos'!$FN$2:$GA$2))</f>
        <v>410255.59102263203</v>
      </c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>
        <f>SQRT(SUMXMY2('Coordenadas dos Polos'!$B$3:$O$3,'Coordenadas dos Polos'!$GB$2:$GO$2))</f>
        <v>401030.02069612534</v>
      </c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>
        <f>SQRT(SUMXMY2('Coordenadas dos Polos'!$B$3:$O$3,'Coordenadas dos Polos'!$GP$2:$HC$2))</f>
        <v>443100.55072487128</v>
      </c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</row>
    <row r="4" spans="1:211" x14ac:dyDescent="0.3">
      <c r="A4" t="s">
        <v>1</v>
      </c>
      <c r="B4">
        <v>69431.040457569863</v>
      </c>
      <c r="C4">
        <v>29800.119836257545</v>
      </c>
      <c r="D4">
        <v>95837.959723739375</v>
      </c>
      <c r="E4">
        <v>43809.740898685544</v>
      </c>
      <c r="F4">
        <v>198419.77308075249</v>
      </c>
      <c r="G4">
        <v>26041.246529231048</v>
      </c>
      <c r="H4">
        <v>5767.6736830478512</v>
      </c>
      <c r="I4">
        <v>68964.852859229155</v>
      </c>
      <c r="J4">
        <v>109353.7701652909</v>
      </c>
      <c r="K4">
        <v>184287.67527342329</v>
      </c>
      <c r="L4">
        <v>107472.42929652314</v>
      </c>
      <c r="M4">
        <v>81150.735564338407</v>
      </c>
      <c r="N4">
        <v>169170.74113915089</v>
      </c>
      <c r="O4">
        <v>164973.64839533434</v>
      </c>
      <c r="P4" s="11">
        <f>SQRT(SUMXMY2('Coordenadas dos Polos'!$B$4:$O$4,'Coordenadas dos Polos'!$P$2:$AC$2))</f>
        <v>426077.33790208807</v>
      </c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>
        <f>SQRT(SUMXMY2('Coordenadas dos Polos'!$B$4:$O$4,'Coordenadas dos Polos'!$AD$2:$AQ$2))</f>
        <v>0</v>
      </c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>
        <f>SQRT(SUMXMY2('Coordenadas dos Polos'!$B$4:$O$4,'Coordenadas dos Polos'!$AR$2:$BE$2))</f>
        <v>285611.11247468297</v>
      </c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>
        <f>SQRT(SUMXMY2('Coordenadas dos Polos'!$B$4:$O$4,'Coordenadas dos Polos'!$BF$2:$BS$2))</f>
        <v>225450.4183585381</v>
      </c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>
        <f>SQRT(SUMXMY2('Coordenadas dos Polos'!$B$4:$O$4,'Coordenadas dos Polos'!$BT$2:$CG$2))</f>
        <v>268205.04285923223</v>
      </c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>
        <f>SQRT(SUMXMY2('Coordenadas dos Polos'!$B$4:$O$4,'Coordenadas dos Polos'!$CH$2:$CU$2))</f>
        <v>307516.02855702827</v>
      </c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>
        <f>SQRT(SUMXMY2('Coordenadas dos Polos'!$B$4:$O$4,'Coordenadas dos Polos'!$CV$2:$DI$2))</f>
        <v>293883.06883967825</v>
      </c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>
        <f>SQRT(SUMXMY2('Coordenadas dos Polos'!$B$4:$O$4,'Coordenadas dos Polos'!$DJ$2:$DW$2))</f>
        <v>228451.40775484897</v>
      </c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>
        <f>SQRT(SUMXMY2('Coordenadas dos Polos'!$B$4:$O$4,'Coordenadas dos Polos'!$DX$2:$EK$2))</f>
        <v>249683.31427154675</v>
      </c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>
        <f>SQRT(SUMXMY2('Coordenadas dos Polos'!$B$4:$O$4,'Coordenadas dos Polos'!$EL$2:$EY$2))</f>
        <v>274094.44628171099</v>
      </c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>
        <f>SQRT(SUMXMY2('Coordenadas dos Polos'!$B$4:$O$4,'Coordenadas dos Polos'!$EZ$2:$FM$2))</f>
        <v>416629.91524070967</v>
      </c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>
        <f>SQRT(SUMXMY2('Coordenadas dos Polos'!$B$4:$O$4,'Coordenadas dos Polos'!$FN$2:$GA$2))</f>
        <v>286180.41929575923</v>
      </c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>
        <f>SQRT(SUMXMY2('Coordenadas dos Polos'!$B$4:$O$4,'Coordenadas dos Polos'!$GB$2:$GO$2))</f>
        <v>356502.10072807962</v>
      </c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>
        <f>SQRT(SUMXMY2('Coordenadas dos Polos'!$B$4:$O$4,'Coordenadas dos Polos'!$GP$2:$HC$2))</f>
        <v>353706.16683764872</v>
      </c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</row>
    <row r="5" spans="1:211" x14ac:dyDescent="0.3">
      <c r="A5" t="s">
        <v>21</v>
      </c>
      <c r="B5">
        <v>134264.59511137122</v>
      </c>
      <c r="C5">
        <v>144141.84294594542</v>
      </c>
      <c r="D5">
        <v>199026.78929850974</v>
      </c>
      <c r="E5">
        <v>67849.577787351809</v>
      </c>
      <c r="F5">
        <v>98879.562749772333</v>
      </c>
      <c r="G5">
        <v>82457.884125798577</v>
      </c>
      <c r="H5">
        <v>138827.92795535724</v>
      </c>
      <c r="I5">
        <v>35759.02823758516</v>
      </c>
      <c r="J5">
        <v>84444.706618320997</v>
      </c>
      <c r="K5">
        <v>108456.94428714218</v>
      </c>
      <c r="L5">
        <v>162665.13253825268</v>
      </c>
      <c r="M5">
        <v>108005.00259917429</v>
      </c>
      <c r="N5">
        <v>85366.203985361004</v>
      </c>
      <c r="O5">
        <v>101646.3756132338</v>
      </c>
      <c r="P5" s="11">
        <f>SQRT(SUMXMY2('Coordenadas dos Polos'!$B$5:$O$5,'Coordenadas dos Polos'!$P$2:$AC$2))</f>
        <v>441345.29605050036</v>
      </c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>
        <f>SQRT(SUMXMY2('Coordenadas dos Polos'!$B$5:$O$5,'Coordenadas dos Polos'!$AD$2:$AQ$2))</f>
        <v>285611.11247468297</v>
      </c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>
        <f>SQRT(SUMXMY2('Coordenadas dos Polos'!$B$5:$O$5,'Coordenadas dos Polos'!$AR$2:$BE$2))</f>
        <v>0</v>
      </c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>
        <f>SQRT(SUMXMY2('Coordenadas dos Polos'!$B$5:$O$5,'Coordenadas dos Polos'!$BF$2:$BS$2))</f>
        <v>241975.75859922991</v>
      </c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>
        <f>SQRT(SUMXMY2('Coordenadas dos Polos'!$B$5:$O$5,'Coordenadas dos Polos'!$BT$2:$CG$2))</f>
        <v>320400.0778360503</v>
      </c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>
        <f>SQRT(SUMXMY2('Coordenadas dos Polos'!$B$5:$O$5,'Coordenadas dos Polos'!$CH$2:$CU$2))</f>
        <v>277212.17349645216</v>
      </c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>
        <f>SQRT(SUMXMY2('Coordenadas dos Polos'!$B$5:$O$5,'Coordenadas dos Polos'!$CV$2:$DI$2))</f>
        <v>249667.75520046282</v>
      </c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>
        <f>SQRT(SUMXMY2('Coordenadas dos Polos'!$B$5:$O$5,'Coordenadas dos Polos'!$DJ$2:$DW$2))</f>
        <v>197799.72384416941</v>
      </c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>
        <f>SQRT(SUMXMY2('Coordenadas dos Polos'!$B$5:$O$5,'Coordenadas dos Polos'!$DX$2:$EK$2))</f>
        <v>272967.6750830533</v>
      </c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>
        <f>SQRT(SUMXMY2('Coordenadas dos Polos'!$B$5:$O$5,'Coordenadas dos Polos'!$EL$2:$EY$2))</f>
        <v>187608.67258977483</v>
      </c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>
        <f>SQRT(SUMXMY2('Coordenadas dos Polos'!$B$5:$O$5,'Coordenadas dos Polos'!$EZ$2:$FM$2))</f>
        <v>254075.81013879555</v>
      </c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>
        <f>SQRT(SUMXMY2('Coordenadas dos Polos'!$B$5:$O$5,'Coordenadas dos Polos'!$FN$2:$GA$2))</f>
        <v>255102.03196611573</v>
      </c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>
        <f>SQRT(SUMXMY2('Coordenadas dos Polos'!$B$5:$O$5,'Coordenadas dos Polos'!$GB$2:$GO$2))</f>
        <v>287831.82605310407</v>
      </c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>
        <f>SQRT(SUMXMY2('Coordenadas dos Polos'!$B$5:$O$5,'Coordenadas dos Polos'!$GP$2:$HC$2))</f>
        <v>235513.22241929101</v>
      </c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</row>
    <row r="6" spans="1:211" x14ac:dyDescent="0.3">
      <c r="A6" t="s">
        <v>45</v>
      </c>
      <c r="B6">
        <v>45481.48717465817</v>
      </c>
      <c r="C6">
        <v>123634.08732749321</v>
      </c>
      <c r="D6">
        <v>97805.156897794979</v>
      </c>
      <c r="E6">
        <v>135940.19742323423</v>
      </c>
      <c r="F6">
        <v>177028.72341380391</v>
      </c>
      <c r="G6">
        <v>73981.341328407812</v>
      </c>
      <c r="H6">
        <v>60400.132994209125</v>
      </c>
      <c r="I6">
        <v>58477.149318094242</v>
      </c>
      <c r="J6">
        <v>30012.880186913302</v>
      </c>
      <c r="K6">
        <v>105790.16223126934</v>
      </c>
      <c r="L6">
        <v>44579.008157472614</v>
      </c>
      <c r="M6">
        <v>116713.81205223422</v>
      </c>
      <c r="N6">
        <v>72572.329152176564</v>
      </c>
      <c r="O6">
        <v>174907.13008664336</v>
      </c>
      <c r="P6" s="11">
        <f>SQRT(SUMXMY2('Coordenadas dos Polos'!$B$6:$O$6,'Coordenadas dos Polos'!$P$2:$AC$2))</f>
        <v>390948.43708649068</v>
      </c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>
        <f>SQRT(SUMXMY2('Coordenadas dos Polos'!$B$6:$O$6,'Coordenadas dos Polos'!$AD$2:$AQ$2))</f>
        <v>225450.4183585381</v>
      </c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>
        <f>SQRT(SUMXMY2('Coordenadas dos Polos'!$B$6:$O$6,'Coordenadas dos Polos'!$AR$2:$BE$2))</f>
        <v>241975.75859922991</v>
      </c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>
        <f>SQRT(SUMXMY2('Coordenadas dos Polos'!$B$6:$O$6,'Coordenadas dos Polos'!$BF$2:$BS$2))</f>
        <v>0</v>
      </c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>
        <f>SQRT(SUMXMY2('Coordenadas dos Polos'!$B$6:$O$6,'Coordenadas dos Polos'!$BT$2:$CG$2))</f>
        <v>262744.49431536562</v>
      </c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>
        <f>SQRT(SUMXMY2('Coordenadas dos Polos'!$B$6:$O$6,'Coordenadas dos Polos'!$CH$2:$CU$2))</f>
        <v>279620.42926942458</v>
      </c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>
        <f>SQRT(SUMXMY2('Coordenadas dos Polos'!$B$6:$O$6,'Coordenadas dos Polos'!$CV$2:$DI$2))</f>
        <v>337904.94270739105</v>
      </c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>
        <f>SQRT(SUMXMY2('Coordenadas dos Polos'!$B$6:$O$6,'Coordenadas dos Polos'!$DJ$2:$DW$2))</f>
        <v>224573.54219712719</v>
      </c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>
        <f>SQRT(SUMXMY2('Coordenadas dos Polos'!$B$6:$O$6,'Coordenadas dos Polos'!$DX$2:$EK$2))</f>
        <v>296886.37986322021</v>
      </c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>
        <f>SQRT(SUMXMY2('Coordenadas dos Polos'!$B$6:$O$6,'Coordenadas dos Polos'!$EL$2:$EY$2))</f>
        <v>300050.19307012419</v>
      </c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>
        <f>SQRT(SUMXMY2('Coordenadas dos Polos'!$B$6:$O$6,'Coordenadas dos Polos'!$EZ$2:$FM$2))</f>
        <v>320739.54504472751</v>
      </c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>
        <f>SQRT(SUMXMY2('Coordenadas dos Polos'!$B$6:$O$6,'Coordenadas dos Polos'!$FN$2:$GA$2))</f>
        <v>184236.28263279685</v>
      </c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>
        <f>SQRT(SUMXMY2('Coordenadas dos Polos'!$B$6:$O$6,'Coordenadas dos Polos'!$GB$2:$GO$2))</f>
        <v>297480.45457627339</v>
      </c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>
        <f>SQRT(SUMXMY2('Coordenadas dos Polos'!$B$6:$O$6,'Coordenadas dos Polos'!$GP$2:$HC$2))</f>
        <v>205278.63540391382</v>
      </c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</row>
    <row r="7" spans="1:211" x14ac:dyDescent="0.3">
      <c r="A7" t="s">
        <v>46</v>
      </c>
      <c r="B7">
        <v>95445.786592072502</v>
      </c>
      <c r="C7">
        <v>38064.057000481975</v>
      </c>
      <c r="D7">
        <v>136587.71391918592</v>
      </c>
      <c r="E7">
        <v>149237.59437509318</v>
      </c>
      <c r="F7">
        <v>122585.2812693437</v>
      </c>
      <c r="G7">
        <v>156170.77070870149</v>
      </c>
      <c r="H7">
        <v>32295.605828641637</v>
      </c>
      <c r="I7">
        <v>161290.56285543746</v>
      </c>
      <c r="J7">
        <v>40457.096212173288</v>
      </c>
      <c r="K7">
        <v>191038.14215336111</v>
      </c>
      <c r="L7">
        <v>13148.578628373431</v>
      </c>
      <c r="M7">
        <v>12284.243423004824</v>
      </c>
      <c r="N7">
        <v>158378.91061917963</v>
      </c>
      <c r="O7">
        <v>75796.225084793085</v>
      </c>
      <c r="P7" s="11">
        <f>SQRT(SUMXMY2('Coordenadas dos Polos'!$B$7:$O$7,'Coordenadas dos Polos'!$P$2:$AC$2))</f>
        <v>432719.34279105213</v>
      </c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>
        <f>SQRT(SUMXMY2('Coordenadas dos Polos'!$B$7:$O$7,'Coordenadas dos Polos'!$AD$2:$AQ$2))</f>
        <v>268205.04285923223</v>
      </c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>
        <f>SQRT(SUMXMY2('Coordenadas dos Polos'!$B$7:$O$7,'Coordenadas dos Polos'!$AR$2:$BE$2))</f>
        <v>320400.0778360503</v>
      </c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>
        <f>SQRT(SUMXMY2('Coordenadas dos Polos'!$B$7:$O$7,'Coordenadas dos Polos'!$BF$2:$BS$2))</f>
        <v>262744.49431536562</v>
      </c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>
        <f>SQRT(SUMXMY2('Coordenadas dos Polos'!$B$7:$O$7,'Coordenadas dos Polos'!$BT$2:$CG$2))</f>
        <v>0</v>
      </c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>
        <f>SQRT(SUMXMY2('Coordenadas dos Polos'!$B$7:$O$7,'Coordenadas dos Polos'!$CH$2:$CU$2))</f>
        <v>333510.84980012185</v>
      </c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>
        <f>SQRT(SUMXMY2('Coordenadas dos Polos'!$B$7:$O$7,'Coordenadas dos Polos'!$CV$2:$DI$2))</f>
        <v>288153.65192804561</v>
      </c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>
        <f>SQRT(SUMXMY2('Coordenadas dos Polos'!$B$7:$O$7,'Coordenadas dos Polos'!$DJ$2:$DW$2))</f>
        <v>338525.25790361851</v>
      </c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>
        <f>SQRT(SUMXMY2('Coordenadas dos Polos'!$B$7:$O$7,'Coordenadas dos Polos'!$DX$2:$EK$2))</f>
        <v>261267.88895295534</v>
      </c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>
        <f>SQRT(SUMXMY2('Coordenadas dos Polos'!$B$7:$O$7,'Coordenadas dos Polos'!$EL$2:$EY$2))</f>
        <v>346184.84508910315</v>
      </c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>
        <f>SQRT(SUMXMY2('Coordenadas dos Polos'!$B$7:$O$7,'Coordenadas dos Polos'!$EZ$2:$FM$2))</f>
        <v>309867.4706262527</v>
      </c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>
        <f>SQRT(SUMXMY2('Coordenadas dos Polos'!$B$7:$O$7,'Coordenadas dos Polos'!$FN$2:$GA$2))</f>
        <v>284749.05901180924</v>
      </c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>
        <f>SQRT(SUMXMY2('Coordenadas dos Polos'!$B$7:$O$7,'Coordenadas dos Polos'!$GB$2:$GO$2))</f>
        <v>271658.4412938492</v>
      </c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>
        <f>SQRT(SUMXMY2('Coordenadas dos Polos'!$B$7:$O$7,'Coordenadas dos Polos'!$GP$2:$HC$2))</f>
        <v>308937.33543360245</v>
      </c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</row>
    <row r="8" spans="1:211" x14ac:dyDescent="0.3">
      <c r="A8" t="s">
        <v>47</v>
      </c>
      <c r="B8">
        <v>92564.494687778817</v>
      </c>
      <c r="C8">
        <v>23869.536636840799</v>
      </c>
      <c r="D8">
        <v>23056.091584149042</v>
      </c>
      <c r="E8">
        <v>34697.594852029164</v>
      </c>
      <c r="F8">
        <v>9607.9759948954415</v>
      </c>
      <c r="G8">
        <v>142728.41537059279</v>
      </c>
      <c r="H8">
        <v>106429.3477854825</v>
      </c>
      <c r="I8">
        <v>112017.54118079254</v>
      </c>
      <c r="J8">
        <v>43275.501407686701</v>
      </c>
      <c r="K8">
        <v>93447.372189188245</v>
      </c>
      <c r="L8">
        <v>149025.7385266833</v>
      </c>
      <c r="M8">
        <v>150215.00426254381</v>
      </c>
      <c r="N8">
        <v>79655.391029005696</v>
      </c>
      <c r="O8">
        <v>180323.05150814672</v>
      </c>
      <c r="P8" s="11">
        <f>SQRT(SUMXMY2('Coordenadas dos Polos'!$B$8:$O$8,'Coordenadas dos Polos'!$P$2:$AC$2))</f>
        <v>386590.32466970844</v>
      </c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>
        <f>SQRT(SUMXMY2('Coordenadas dos Polos'!$B$8:$O$8,'Coordenadas dos Polos'!$AD$2:$AQ$2))</f>
        <v>307516.02855702827</v>
      </c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>
        <f>SQRT(SUMXMY2('Coordenadas dos Polos'!$B$8:$O$8,'Coordenadas dos Polos'!$AR$2:$BE$2))</f>
        <v>277212.17349645216</v>
      </c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>
        <f>SQRT(SUMXMY2('Coordenadas dos Polos'!$B$8:$O$8,'Coordenadas dos Polos'!$BF$2:$BS$2))</f>
        <v>279620.42926942458</v>
      </c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>
        <f>SQRT(SUMXMY2('Coordenadas dos Polos'!$B$8:$O$8,'Coordenadas dos Polos'!$BT$2:$CG$2))</f>
        <v>333510.84980012185</v>
      </c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>
        <f>SQRT(SUMXMY2('Coordenadas dos Polos'!$B$8:$O$8,'Coordenadas dos Polos'!$CH$2:$CU$2))</f>
        <v>0</v>
      </c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>
        <f>SQRT(SUMXMY2('Coordenadas dos Polos'!$B$8:$O$8,'Coordenadas dos Polos'!$CV$2:$DI$2))</f>
        <v>292299.26856378687</v>
      </c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>
        <f>SQRT(SUMXMY2('Coordenadas dos Polos'!$B$8:$O$8,'Coordenadas dos Polos'!$DJ$2:$DW$2))</f>
        <v>263517.83113112277</v>
      </c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>
        <f>SQRT(SUMXMY2('Coordenadas dos Polos'!$B$8:$O$8,'Coordenadas dos Polos'!$DX$2:$EK$2))</f>
        <v>291144.85011076194</v>
      </c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>
        <f>SQRT(SUMXMY2('Coordenadas dos Polos'!$B$8:$O$8,'Coordenadas dos Polos'!$EL$2:$EY$2))</f>
        <v>265925.63652271323</v>
      </c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>
        <f>SQRT(SUMXMY2('Coordenadas dos Polos'!$B$8:$O$8,'Coordenadas dos Polos'!$EZ$2:$FM$2))</f>
        <v>323690.14419002313</v>
      </c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>
        <f>SQRT(SUMXMY2('Coordenadas dos Polos'!$B$8:$O$8,'Coordenadas dos Polos'!$FN$2:$GA$2))</f>
        <v>284984.22647777712</v>
      </c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>
        <f>SQRT(SUMXMY2('Coordenadas dos Polos'!$B$8:$O$8,'Coordenadas dos Polos'!$GB$2:$GO$2))</f>
        <v>338337.73552690994</v>
      </c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>
        <f>SQRT(SUMXMY2('Coordenadas dos Polos'!$B$8:$O$8,'Coordenadas dos Polos'!$GP$2:$HC$2))</f>
        <v>228397.70424805366</v>
      </c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</row>
    <row r="9" spans="1:211" x14ac:dyDescent="0.3">
      <c r="A9" t="s">
        <v>48</v>
      </c>
      <c r="B9">
        <v>148956.28227527495</v>
      </c>
      <c r="C9">
        <v>17682.81268300143</v>
      </c>
      <c r="D9">
        <v>126705.74125051145</v>
      </c>
      <c r="E9">
        <v>142371.3274049903</v>
      </c>
      <c r="F9">
        <v>3131.3352685565296</v>
      </c>
      <c r="G9">
        <v>86087.22319013685</v>
      </c>
      <c r="H9">
        <v>80264.454278161546</v>
      </c>
      <c r="I9">
        <v>54968.656514345472</v>
      </c>
      <c r="J9">
        <v>196751.03784515106</v>
      </c>
      <c r="K9">
        <v>160253.78905742738</v>
      </c>
      <c r="L9">
        <v>138991.45244033853</v>
      </c>
      <c r="M9">
        <v>83382.642461461932</v>
      </c>
      <c r="N9">
        <v>146656.32348549328</v>
      </c>
      <c r="O9">
        <v>55342.62058764106</v>
      </c>
      <c r="P9" s="11">
        <f>SQRT(SUMXMY2('Coordenadas dos Polos'!$B$9:$O$9,'Coordenadas dos Polos'!$P$2:$AC$2))</f>
        <v>436971.12752537359</v>
      </c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>
        <f>SQRT(SUMXMY2('Coordenadas dos Polos'!$B$9:$O$9,'Coordenadas dos Polos'!$AD$2:$AQ$2))</f>
        <v>293883.06883967825</v>
      </c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>
        <f>SQRT(SUMXMY2('Coordenadas dos Polos'!$B$9:$O$9,'Coordenadas dos Polos'!$AR$2:$BE$2))</f>
        <v>249667.75520046282</v>
      </c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>
        <f>SQRT(SUMXMY2('Coordenadas dos Polos'!$B$9:$O$9,'Coordenadas dos Polos'!$BF$2:$BS$2))</f>
        <v>337904.94270739105</v>
      </c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>
        <f>SQRT(SUMXMY2('Coordenadas dos Polos'!$B$9:$O$9,'Coordenadas dos Polos'!$BT$2:$CG$2))</f>
        <v>288153.65192804561</v>
      </c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>
        <f>SQRT(SUMXMY2('Coordenadas dos Polos'!$B$9:$O$9,'Coordenadas dos Polos'!$CH$2:$CU$2))</f>
        <v>292299.26856378687</v>
      </c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>
        <f>SQRT(SUMXMY2('Coordenadas dos Polos'!$B$9:$O$9,'Coordenadas dos Polos'!$CV$2:$DI$2))</f>
        <v>0</v>
      </c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>
        <f>SQRT(SUMXMY2('Coordenadas dos Polos'!$B$9:$O$9,'Coordenadas dos Polos'!$DJ$2:$DW$2))</f>
        <v>334400.26640350895</v>
      </c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>
        <f>SQRT(SUMXMY2('Coordenadas dos Polos'!$B$9:$O$9,'Coordenadas dos Polos'!$DX$2:$EK$2))</f>
        <v>257478.85841629648</v>
      </c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>
        <f>SQRT(SUMXMY2('Coordenadas dos Polos'!$B$9:$O$9,'Coordenadas dos Polos'!$EL$2:$EY$2))</f>
        <v>246998.54085168583</v>
      </c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>
        <f>SQRT(SUMXMY2('Coordenadas dos Polos'!$B$9:$O$9,'Coordenadas dos Polos'!$EZ$2:$FM$2))</f>
        <v>334470.03193434613</v>
      </c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>
        <f>SQRT(SUMXMY2('Coordenadas dos Polos'!$B$9:$O$9,'Coordenadas dos Polos'!$FN$2:$GA$2))</f>
        <v>301998.53269945667</v>
      </c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>
        <f>SQRT(SUMXMY2('Coordenadas dos Polos'!$B$9:$O$9,'Coordenadas dos Polos'!$GB$2:$GO$2))</f>
        <v>249086.71088493933</v>
      </c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>
        <f>SQRT(SUMXMY2('Coordenadas dos Polos'!$B$9:$O$9,'Coordenadas dos Polos'!$GP$2:$HC$2))</f>
        <v>332393.92187730275</v>
      </c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</row>
    <row r="10" spans="1:211" x14ac:dyDescent="0.3">
      <c r="A10" t="s">
        <v>49</v>
      </c>
      <c r="B10">
        <v>71200.104034393429</v>
      </c>
      <c r="C10">
        <v>86549.019192046835</v>
      </c>
      <c r="D10">
        <v>188683.73470864573</v>
      </c>
      <c r="E10">
        <v>24270.064512936842</v>
      </c>
      <c r="F10">
        <v>128978.04131372132</v>
      </c>
      <c r="G10">
        <v>69452.260556312336</v>
      </c>
      <c r="H10">
        <v>20852.152848576166</v>
      </c>
      <c r="I10">
        <v>37019.594933381821</v>
      </c>
      <c r="J10">
        <v>15511.424126935381</v>
      </c>
      <c r="K10">
        <v>86409.725846179237</v>
      </c>
      <c r="L10">
        <v>191539.01027202464</v>
      </c>
      <c r="M10">
        <v>108227.77198126158</v>
      </c>
      <c r="N10">
        <v>98712.920112311811</v>
      </c>
      <c r="O10">
        <v>194273.66570037551</v>
      </c>
      <c r="P10" s="11">
        <f>SQRT(SUMXMY2('Coordenadas dos Polos'!$B$10:$O$10,'Coordenadas dos Polos'!$P$2:$AC$2))</f>
        <v>419057.48472336057</v>
      </c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>
        <f>SQRT(SUMXMY2('Coordenadas dos Polos'!$B$10:$O$10,'Coordenadas dos Polos'!$AD$2:$AQ$2))</f>
        <v>228451.40775484897</v>
      </c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>
        <f>SQRT(SUMXMY2('Coordenadas dos Polos'!$B$10:$O$10,'Coordenadas dos Polos'!$AR$2:$BE$2))</f>
        <v>197799.72384416941</v>
      </c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>
        <f>SQRT(SUMXMY2('Coordenadas dos Polos'!$B$10:$O$10,'Coordenadas dos Polos'!$BF$2:$BS$2))</f>
        <v>224573.54219712719</v>
      </c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>
        <f>SQRT(SUMXMY2('Coordenadas dos Polos'!$B$10:$O$10,'Coordenadas dos Polos'!$BT$2:$CG$2))</f>
        <v>338525.25790361851</v>
      </c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>
        <f>SQRT(SUMXMY2('Coordenadas dos Polos'!$B$10:$O$10,'Coordenadas dos Polos'!$CH$2:$CU$2))</f>
        <v>263517.83113112277</v>
      </c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>
        <f>SQRT(SUMXMY2('Coordenadas dos Polos'!$B$10:$O$10,'Coordenadas dos Polos'!$CV$2:$DI$2))</f>
        <v>334400.26640350895</v>
      </c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>
        <f>SQRT(SUMXMY2('Coordenadas dos Polos'!$B$10:$O$10,'Coordenadas dos Polos'!$DJ$2:$DW$2))</f>
        <v>0</v>
      </c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>
        <f>SQRT(SUMXMY2('Coordenadas dos Polos'!$B$10:$O$10,'Coordenadas dos Polos'!$DX$2:$EK$2))</f>
        <v>322922.86017024011</v>
      </c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>
        <f>SQRT(SUMXMY2('Coordenadas dos Polos'!$B$10:$O$10,'Coordenadas dos Polos'!$EL$2:$EY$2))</f>
        <v>261916.24785862895</v>
      </c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>
        <f>SQRT(SUMXMY2('Coordenadas dos Polos'!$B$10:$O$10,'Coordenadas dos Polos'!$EZ$2:$FM$2))</f>
        <v>355331.06031922123</v>
      </c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>
        <f>SQRT(SUMXMY2('Coordenadas dos Polos'!$B$10:$O$10,'Coordenadas dos Polos'!$FN$2:$GA$2))</f>
        <v>297980.00792178873</v>
      </c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>
        <f>SQRT(SUMXMY2('Coordenadas dos Polos'!$B$10:$O$10,'Coordenadas dos Polos'!$GB$2:$GO$2))</f>
        <v>384023.7934682332</v>
      </c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>
        <f>SQRT(SUMXMY2('Coordenadas dos Polos'!$B$10:$O$10,'Coordenadas dos Polos'!$GP$2:$HC$2))</f>
        <v>303907.95651543047</v>
      </c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</row>
    <row r="11" spans="1:211" x14ac:dyDescent="0.3">
      <c r="A11" t="s">
        <v>50</v>
      </c>
      <c r="B11">
        <v>43488.416475831888</v>
      </c>
      <c r="C11">
        <v>75673.736438546563</v>
      </c>
      <c r="D11">
        <v>79038.806129594508</v>
      </c>
      <c r="E11">
        <v>56208.205434270443</v>
      </c>
      <c r="F11">
        <v>100508.85692691468</v>
      </c>
      <c r="G11">
        <v>27700.88913699218</v>
      </c>
      <c r="H11">
        <v>103281.22771865025</v>
      </c>
      <c r="I11">
        <v>192755.72051024079</v>
      </c>
      <c r="J11">
        <v>111317.03989538406</v>
      </c>
      <c r="K11">
        <v>181542.10631139501</v>
      </c>
      <c r="L11">
        <v>131235.3456818019</v>
      </c>
      <c r="M11">
        <v>88078.008830657724</v>
      </c>
      <c r="N11">
        <v>138371.22572925308</v>
      </c>
      <c r="O11">
        <v>12877.049434425275</v>
      </c>
      <c r="P11" s="11">
        <f>SQRT(SUMXMY2('Coordenadas dos Polos'!$B$11:$O$11,'Coordenadas dos Polos'!$P$2:$AC$2))</f>
        <v>406641.47255008784</v>
      </c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>
        <f>SQRT(SUMXMY2('Coordenadas dos Polos'!$B$11:$O$11,'Coordenadas dos Polos'!$AD$2:$AQ$2))</f>
        <v>249683.31427154675</v>
      </c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>
        <f>SQRT(SUMXMY2('Coordenadas dos Polos'!$B$11:$O$11,'Coordenadas dos Polos'!$AR$2:$BE$2))</f>
        <v>272967.6750830533</v>
      </c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>
        <f>SQRT(SUMXMY2('Coordenadas dos Polos'!$B$11:$O$11,'Coordenadas dos Polos'!$BF$2:$BS$2))</f>
        <v>296886.37986322021</v>
      </c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>
        <f>SQRT(SUMXMY2('Coordenadas dos Polos'!$B$11:$O$11,'Coordenadas dos Polos'!$BT$2:$CG$2))</f>
        <v>261267.88895295534</v>
      </c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>
        <f>SQRT(SUMXMY2('Coordenadas dos Polos'!$B$11:$O$11,'Coordenadas dos Polos'!$CH$2:$CU$2))</f>
        <v>291144.85011076194</v>
      </c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>
        <f>SQRT(SUMXMY2('Coordenadas dos Polos'!$B$11:$O$11,'Coordenadas dos Polos'!$CV$2:$DI$2))</f>
        <v>257478.85841629648</v>
      </c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>
        <f>SQRT(SUMXMY2('Coordenadas dos Polos'!$B$11:$O$11,'Coordenadas dos Polos'!$DJ$2:$DW$2))</f>
        <v>322922.86017024011</v>
      </c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>
        <f>SQRT(SUMXMY2('Coordenadas dos Polos'!$B$11:$O$11,'Coordenadas dos Polos'!$DX$2:$EK$2))</f>
        <v>0</v>
      </c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>
        <f>SQRT(SUMXMY2('Coordenadas dos Polos'!$B$11:$O$11,'Coordenadas dos Polos'!$EL$2:$EY$2))</f>
        <v>291113.63966625248</v>
      </c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>
        <f>SQRT(SUMXMY2('Coordenadas dos Polos'!$B$11:$O$11,'Coordenadas dos Polos'!$EZ$2:$FM$2))</f>
        <v>344846.77964271611</v>
      </c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>
        <f>SQRT(SUMXMY2('Coordenadas dos Polos'!$B$11:$O$11,'Coordenadas dos Polos'!$FN$2:$GA$2))</f>
        <v>285319.92643034307</v>
      </c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>
        <f>SQRT(SUMXMY2('Coordenadas dos Polos'!$B$11:$O$11,'Coordenadas dos Polos'!$GB$2:$GO$2))</f>
        <v>309217.76622694096</v>
      </c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>
        <f>SQRT(SUMXMY2('Coordenadas dos Polos'!$B$11:$O$11,'Coordenadas dos Polos'!$GP$2:$HC$2))</f>
        <v>334557.76051049895</v>
      </c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</row>
    <row r="12" spans="1:211" x14ac:dyDescent="0.3">
      <c r="A12" t="s">
        <v>51</v>
      </c>
      <c r="B12">
        <v>150970.10892037544</v>
      </c>
      <c r="C12">
        <v>139872.71135878161</v>
      </c>
      <c r="D12">
        <v>99250.884724402291</v>
      </c>
      <c r="E12">
        <v>31036.074549889625</v>
      </c>
      <c r="F12">
        <v>44674.004695982105</v>
      </c>
      <c r="G12">
        <v>65121.646619118437</v>
      </c>
      <c r="H12">
        <v>156639.98124875873</v>
      </c>
      <c r="I12">
        <v>10036.055485455212</v>
      </c>
      <c r="J12">
        <v>103432.9936744349</v>
      </c>
      <c r="K12">
        <v>151157.18616778596</v>
      </c>
      <c r="L12">
        <v>159870.91087647161</v>
      </c>
      <c r="M12">
        <v>64934.248035383716</v>
      </c>
      <c r="N12">
        <v>194226.21503650214</v>
      </c>
      <c r="O12">
        <v>160589.1927718191</v>
      </c>
      <c r="P12" s="11">
        <f>SQRT(SUMXMY2('Coordenadas dos Polos'!$B$12:$O$12,'Coordenadas dos Polos'!$P$2:$AC$2))</f>
        <v>459215.07179875142</v>
      </c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>
        <f>SQRT(SUMXMY2('Coordenadas dos Polos'!$B$12:$O$12,'Coordenadas dos Polos'!$AD$2:$AQ$2))</f>
        <v>274094.44628171099</v>
      </c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>
        <f>SQRT(SUMXMY2('Coordenadas dos Polos'!$B$12:$O$12,'Coordenadas dos Polos'!$AR$2:$BE$2))</f>
        <v>187608.67258977483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>
        <f>SQRT(SUMXMY2('Coordenadas dos Polos'!$B$12:$O$12,'Coordenadas dos Polos'!$BF$2:$BS$2))</f>
        <v>300050.19307012419</v>
      </c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>
        <f>SQRT(SUMXMY2('Coordenadas dos Polos'!$B$12:$O$12,'Coordenadas dos Polos'!$BT$2:$CG$2))</f>
        <v>346184.84508910315</v>
      </c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>
        <f>SQRT(SUMXMY2('Coordenadas dos Polos'!$B$12:$O$12,'Coordenadas dos Polos'!$CH$2:$CU$2))</f>
        <v>265925.63652271323</v>
      </c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>
        <f>SQRT(SUMXMY2('Coordenadas dos Polos'!$B$12:$O$12,'Coordenadas dos Polos'!$CV$2:$DI$2))</f>
        <v>246998.54085168583</v>
      </c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>
        <f>SQRT(SUMXMY2('Coordenadas dos Polos'!$B$12:$O$12,'Coordenadas dos Polos'!$DJ$2:$DW$2))</f>
        <v>261916.24785862895</v>
      </c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>
        <f>SQRT(SUMXMY2('Coordenadas dos Polos'!$B$12:$O$12,'Coordenadas dos Polos'!$DX$2:$EK$2))</f>
        <v>291113.63966625248</v>
      </c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>
        <f>SQRT(SUMXMY2('Coordenadas dos Polos'!$B$12:$O$12,'Coordenadas dos Polos'!$EL$2:$EY$2))</f>
        <v>0</v>
      </c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>
        <f>SQRT(SUMXMY2('Coordenadas dos Polos'!$B$12:$O$12,'Coordenadas dos Polos'!$EZ$2:$FM$2))</f>
        <v>312141.32705481886</v>
      </c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>
        <f>SQRT(SUMXMY2('Coordenadas dos Polos'!$B$12:$O$12,'Coordenadas dos Polos'!$FN$2:$GA$2))</f>
        <v>299943.34363609093</v>
      </c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>
        <f>SQRT(SUMXMY2('Coordenadas dos Polos'!$B$12:$O$12,'Coordenadas dos Polos'!$GB$2:$GO$2))</f>
        <v>346038.24823285791</v>
      </c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>
        <f>SQRT(SUMXMY2('Coordenadas dos Polos'!$B$12:$O$12,'Coordenadas dos Polos'!$GP$2:$HC$2))</f>
        <v>275147.93714378332</v>
      </c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</row>
    <row r="13" spans="1:211" x14ac:dyDescent="0.3">
      <c r="A13" t="s">
        <v>52</v>
      </c>
      <c r="B13">
        <v>134743.50524788114</v>
      </c>
      <c r="C13">
        <v>180728.48273852313</v>
      </c>
      <c r="D13">
        <v>174868.20078603394</v>
      </c>
      <c r="E13">
        <v>83192.792200587035</v>
      </c>
      <c r="F13">
        <v>24576.131411063718</v>
      </c>
      <c r="G13">
        <v>190518.10096735373</v>
      </c>
      <c r="H13">
        <v>159197.50895440389</v>
      </c>
      <c r="I13">
        <v>139028.23949878663</v>
      </c>
      <c r="J13">
        <v>80188.975946010803</v>
      </c>
      <c r="K13">
        <v>3254.1928565086137</v>
      </c>
      <c r="L13">
        <v>33497.451286527263</v>
      </c>
      <c r="M13">
        <v>32792.879741012257</v>
      </c>
      <c r="N13">
        <v>101776.54062722507</v>
      </c>
      <c r="O13">
        <v>81079.137070768731</v>
      </c>
      <c r="P13" s="11">
        <f>SQRT(SUMXMY2('Coordenadas dos Polos'!$B$13:$O$13,'Coordenadas dos Polos'!$P$2:$AC$2))</f>
        <v>442111.9324283094</v>
      </c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>
        <f>SQRT(SUMXMY2('Coordenadas dos Polos'!$B$13:$O$13,'Coordenadas dos Polos'!$AD$2:$AQ$2))</f>
        <v>416629.91524070967</v>
      </c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>
        <f>SQRT(SUMXMY2('Coordenadas dos Polos'!$B$13:$O$13,'Coordenadas dos Polos'!$AR$2:$BE$2))</f>
        <v>254075.81013879555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>
        <f>SQRT(SUMXMY2('Coordenadas dos Polos'!$B$13:$O$13,'Coordenadas dos Polos'!$BF$2:$BS$2))</f>
        <v>320739.54504472751</v>
      </c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>
        <f>SQRT(SUMXMY2('Coordenadas dos Polos'!$B$13:$O$13,'Coordenadas dos Polos'!$BT$2:$CG$2))</f>
        <v>309867.4706262527</v>
      </c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>
        <f>SQRT(SUMXMY2('Coordenadas dos Polos'!$B$13:$O$13,'Coordenadas dos Polos'!$CH$2:$CU$2))</f>
        <v>323690.14419002313</v>
      </c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>
        <f>SQRT(SUMXMY2('Coordenadas dos Polos'!$B$13:$O$13,'Coordenadas dos Polos'!$CV$2:$DI$2))</f>
        <v>334470.03193434613</v>
      </c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>
        <f>SQRT(SUMXMY2('Coordenadas dos Polos'!$B$13:$O$13,'Coordenadas dos Polos'!$DJ$2:$DW$2))</f>
        <v>355331.06031922123</v>
      </c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>
        <f>SQRT(SUMXMY2('Coordenadas dos Polos'!$B$13:$O$13,'Coordenadas dos Polos'!$DX$2:$EK$2))</f>
        <v>344846.77964271611</v>
      </c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>
        <f>SQRT(SUMXMY2('Coordenadas dos Polos'!$B$13:$O$13,'Coordenadas dos Polos'!$EL$2:$EY$2))</f>
        <v>312141.32705481886</v>
      </c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>
        <f>SQRT(SUMXMY2('Coordenadas dos Polos'!$B$13:$O$13,'Coordenadas dos Polos'!$EZ$2:$FM$2))</f>
        <v>0</v>
      </c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>
        <f>SQRT(SUMXMY2('Coordenadas dos Polos'!$B$13:$O$13,'Coordenadas dos Polos'!$FN$2:$GA$2))</f>
        <v>331629.28599355865</v>
      </c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>
        <f>SQRT(SUMXMY2('Coordenadas dos Polos'!$B$13:$O$13,'Coordenadas dos Polos'!$GB$2:$GO$2))</f>
        <v>254246.02678980739</v>
      </c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>
        <f>SQRT(SUMXMY2('Coordenadas dos Polos'!$B$13:$O$13,'Coordenadas dos Polos'!$GP$2:$HC$2))</f>
        <v>236115.17848577263</v>
      </c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</row>
    <row r="14" spans="1:211" x14ac:dyDescent="0.3">
      <c r="A14" t="s">
        <v>53</v>
      </c>
      <c r="B14">
        <v>21191.888652671896</v>
      </c>
      <c r="C14">
        <v>55133.942398437168</v>
      </c>
      <c r="D14">
        <v>128398.08875526884</v>
      </c>
      <c r="E14">
        <v>169541.02769673619</v>
      </c>
      <c r="F14">
        <v>99430.237998686702</v>
      </c>
      <c r="G14">
        <v>37493.33988601387</v>
      </c>
      <c r="H14">
        <v>179028.74449830916</v>
      </c>
      <c r="I14">
        <v>74440.376218198755</v>
      </c>
      <c r="J14">
        <v>64604.664078863607</v>
      </c>
      <c r="K14">
        <v>153913.29972178611</v>
      </c>
      <c r="L14">
        <v>43528.452601558012</v>
      </c>
      <c r="M14">
        <v>89251.790916229962</v>
      </c>
      <c r="N14">
        <v>47128.014499853853</v>
      </c>
      <c r="O14">
        <v>175388.3252814587</v>
      </c>
      <c r="P14" s="11">
        <f>SQRT(SUMXMY2('Coordenadas dos Polos'!$B$14:$O$14,'Coordenadas dos Polos'!$P$2:$AC$2))</f>
        <v>410255.59102263203</v>
      </c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>
        <f>SQRT(SUMXMY2('Coordenadas dos Polos'!$B$14:$O$14,'Coordenadas dos Polos'!$AD$2:$AQ$2))</f>
        <v>286180.41929575923</v>
      </c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>
        <f>SQRT(SUMXMY2('Coordenadas dos Polos'!$B$14:$O$14,'Coordenadas dos Polos'!$AR$2:$BE$2))</f>
        <v>255102.03196611573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>
        <f>SQRT(SUMXMY2('Coordenadas dos Polos'!$B$14:$O$14,'Coordenadas dos Polos'!$BF$2:$BS$2))</f>
        <v>184236.28263279685</v>
      </c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>
        <f>SQRT(SUMXMY2('Coordenadas dos Polos'!$B$14:$O$14,'Coordenadas dos Polos'!$BT$2:$CG$2))</f>
        <v>284749.05901180924</v>
      </c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>
        <f>SQRT(SUMXMY2('Coordenadas dos Polos'!$B$14:$O$14,'Coordenadas dos Polos'!$CH$2:$CU$2))</f>
        <v>284984.22647777712</v>
      </c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>
        <f>SQRT(SUMXMY2('Coordenadas dos Polos'!$B$14:$O$14,'Coordenadas dos Polos'!$CV$2:$DI$2))</f>
        <v>301998.53269945667</v>
      </c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>
        <f>SQRT(SUMXMY2('Coordenadas dos Polos'!$B$14:$O$14,'Coordenadas dos Polos'!$DJ$2:$DW$2))</f>
        <v>297980.00792178873</v>
      </c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>
        <f>SQRT(SUMXMY2('Coordenadas dos Polos'!$B$14:$O$14,'Coordenadas dos Polos'!$DX$2:$EK$2))</f>
        <v>285319.92643034307</v>
      </c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>
        <f>SQRT(SUMXMY2('Coordenadas dos Polos'!$B$14:$O$14,'Coordenadas dos Polos'!$EL$2:$EY$2))</f>
        <v>299943.34363609093</v>
      </c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>
        <f>SQRT(SUMXMY2('Coordenadas dos Polos'!$B$14:$O$14,'Coordenadas dos Polos'!$EZ$2:$FM$2))</f>
        <v>331629.28599355865</v>
      </c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>
        <f>SQRT(SUMXMY2('Coordenadas dos Polos'!$B$14:$O$14,'Coordenadas dos Polos'!$FN$2:$GA$2))</f>
        <v>0</v>
      </c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>
        <f>SQRT(SUMXMY2('Coordenadas dos Polos'!$B$14:$O$14,'Coordenadas dos Polos'!$GB$2:$GO$2))</f>
        <v>312351.98345528677</v>
      </c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>
        <f>SQRT(SUMXMY2('Coordenadas dos Polos'!$B$14:$O$14,'Coordenadas dos Polos'!$GP$2:$HC$2))</f>
        <v>251797.75649630243</v>
      </c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</row>
    <row r="15" spans="1:211" x14ac:dyDescent="0.3">
      <c r="A15" t="s">
        <v>54</v>
      </c>
      <c r="B15">
        <v>121886.00582250531</v>
      </c>
      <c r="C15">
        <v>74763.426336126824</v>
      </c>
      <c r="D15">
        <v>77772.407774580919</v>
      </c>
      <c r="E15">
        <v>171835.10722191955</v>
      </c>
      <c r="F15">
        <v>116995.07654667107</v>
      </c>
      <c r="G15">
        <v>186005.82489487933</v>
      </c>
      <c r="H15">
        <v>103268.56468720773</v>
      </c>
      <c r="I15">
        <v>65951.64644317911</v>
      </c>
      <c r="J15">
        <v>173405.40643020804</v>
      </c>
      <c r="K15">
        <v>51727.087083898004</v>
      </c>
      <c r="L15">
        <v>51823.000025998736</v>
      </c>
      <c r="M15">
        <v>35680.003304522892</v>
      </c>
      <c r="N15">
        <v>69277.441694602749</v>
      </c>
      <c r="O15">
        <v>500.3167554325023</v>
      </c>
      <c r="P15" s="11">
        <f>SQRT(SUMXMY2('Coordenadas dos Polos'!$B$15:$O$15,'Coordenadas dos Polos'!$P$2:$AC$2))</f>
        <v>401030.02069612534</v>
      </c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>
        <f>SQRT(SUMXMY2('Coordenadas dos Polos'!$B$15:$O$15,'Coordenadas dos Polos'!$AD$2:$AQ$2))</f>
        <v>356502.10072807962</v>
      </c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>
        <f>SQRT(SUMXMY2('Coordenadas dos Polos'!$B$15:$O$15,'Coordenadas dos Polos'!$AR$2:$BE$2))</f>
        <v>287831.82605310407</v>
      </c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>
        <f>SQRT(SUMXMY2('Coordenadas dos Polos'!$B$15:$O$15,'Coordenadas dos Polos'!$BF$2:$BS$2))</f>
        <v>297480.45457627339</v>
      </c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>
        <f>SQRT(SUMXMY2('Coordenadas dos Polos'!$B$15:$O$15,'Coordenadas dos Polos'!$BT$2:$CG$2))</f>
        <v>271658.4412938492</v>
      </c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>
        <f>SQRT(SUMXMY2('Coordenadas dos Polos'!$B$15:$O$15,'Coordenadas dos Polos'!$CH$2:$CU$2))</f>
        <v>338337.73552690994</v>
      </c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>
        <f>SQRT(SUMXMY2('Coordenadas dos Polos'!$B$15:$O$15,'Coordenadas dos Polos'!$CV$2:$DI$2))</f>
        <v>249086.71088493933</v>
      </c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>
        <f>SQRT(SUMXMY2('Coordenadas dos Polos'!$B$15:$O$15,'Coordenadas dos Polos'!$DJ$2:$DW$2))</f>
        <v>384023.7934682332</v>
      </c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>
        <f>SQRT(SUMXMY2('Coordenadas dos Polos'!$B$15:$O$15,'Coordenadas dos Polos'!$DX$2:$EK$2))</f>
        <v>309217.76622694096</v>
      </c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>
        <f>SQRT(SUMXMY2('Coordenadas dos Polos'!$B$15:$O$15,'Coordenadas dos Polos'!$EL$2:$EY$2))</f>
        <v>346038.24823285791</v>
      </c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>
        <f>SQRT(SUMXMY2('Coordenadas dos Polos'!$B$15:$O$15,'Coordenadas dos Polos'!$EZ$2:$FM$2))</f>
        <v>254246.02678980739</v>
      </c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>
        <f>SQRT(SUMXMY2('Coordenadas dos Polos'!$B$15:$O$15,'Coordenadas dos Polos'!$FN$2:$GA$2))</f>
        <v>312351.98345528677</v>
      </c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>
        <f>SQRT(SUMXMY2('Coordenadas dos Polos'!$B$15:$O$15,'Coordenadas dos Polos'!$GB$2:$GO$2))</f>
        <v>0</v>
      </c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>
        <f>SQRT(SUMXMY2('Coordenadas dos Polos'!$B$15:$O$15,'Coordenadas dos Polos'!$GP$2:$HC$2))</f>
        <v>279082.68700364541</v>
      </c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</row>
    <row r="16" spans="1:211" x14ac:dyDescent="0.3">
      <c r="A16" t="s">
        <v>55</v>
      </c>
      <c r="B16">
        <v>148224.51615565646</v>
      </c>
      <c r="C16">
        <v>167901.14132224064</v>
      </c>
      <c r="D16">
        <v>55626.360561908783</v>
      </c>
      <c r="E16">
        <v>140363.07058950927</v>
      </c>
      <c r="F16">
        <v>80839.908128075243</v>
      </c>
      <c r="G16">
        <v>162047.6312352503</v>
      </c>
      <c r="H16">
        <v>148112.42928523771</v>
      </c>
      <c r="I16">
        <v>87388.992343503021</v>
      </c>
      <c r="J16">
        <v>15570.502405206633</v>
      </c>
      <c r="K16">
        <v>81991.422796515035</v>
      </c>
      <c r="L16">
        <v>67763.542961883868</v>
      </c>
      <c r="M16">
        <v>141877.39777066041</v>
      </c>
      <c r="N16">
        <v>62355.024177182437</v>
      </c>
      <c r="O16">
        <v>159492.26957445711</v>
      </c>
      <c r="P16" s="11">
        <f>SQRT(SUMXMY2('Coordenadas dos Polos'!$B$16:$O$16,'Coordenadas dos Polos'!$P$2:$AC$2))</f>
        <v>443100.55072487128</v>
      </c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>
        <f>SQRT(SUMXMY2('Coordenadas dos Polos'!$B$16:$O$16,'Coordenadas dos Polos'!$AD$2:$AQ$2))</f>
        <v>353706.16683764872</v>
      </c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>
        <f>SQRT(SUMXMY2('Coordenadas dos Polos'!$B$16:$O$16,'Coordenadas dos Polos'!$AR$2:$BE$2))</f>
        <v>235513.22241929101</v>
      </c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>
        <f>SQRT(SUMXMY2('Coordenadas dos Polos'!$B$16:$O$16,'Coordenadas dos Polos'!$BF$2:$BS$2))</f>
        <v>205278.63540391382</v>
      </c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>
        <f>SQRT(SUMXMY2('Coordenadas dos Polos'!$B$16:$O$16,'Coordenadas dos Polos'!$BT$2:$CG$2))</f>
        <v>308937.33543360245</v>
      </c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>
        <f>SQRT(SUMXMY2('Coordenadas dos Polos'!$B$16:$O$16,'Coordenadas dos Polos'!$CH$2:$CU$2))</f>
        <v>228397.70424805366</v>
      </c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>
        <f>SQRT(SUMXMY2('Coordenadas dos Polos'!$B$16:$O$16,'Coordenadas dos Polos'!$CV$2:$DI$2))</f>
        <v>332393.92187730275</v>
      </c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>
        <f>SQRT(SUMXMY2('Coordenadas dos Polos'!$B$16:$O$16,'Coordenadas dos Polos'!$DJ$2:$DW$2))</f>
        <v>303907.95651543047</v>
      </c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>
        <f>SQRT(SUMXMY2('Coordenadas dos Polos'!$B$16:$O$16,'Coordenadas dos Polos'!$DX$2:$EK$2))</f>
        <v>334557.76051049895</v>
      </c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>
        <f>SQRT(SUMXMY2('Coordenadas dos Polos'!$B$16:$O$16,'Coordenadas dos Polos'!$EL$2:$EY$2))</f>
        <v>275147.93714378332</v>
      </c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>
        <f>SQRT(SUMXMY2('Coordenadas dos Polos'!$B$16:$O$16,'Coordenadas dos Polos'!$EZ$2:$FM$2))</f>
        <v>236115.17848577263</v>
      </c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>
        <f>SQRT(SUMXMY2('Coordenadas dos Polos'!$B$16:$O$16,'Coordenadas dos Polos'!$FN$2:$GA$2))</f>
        <v>251797.75649630243</v>
      </c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>
        <f>SQRT(SUMXMY2('Coordenadas dos Polos'!$B$16:$O$16,'Coordenadas dos Polos'!$GB$2:$GO$2))</f>
        <v>279082.68700364541</v>
      </c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>
        <f>SQRT(SUMXMY2('Coordenadas dos Polos'!$B$16:$O$16,'Coordenadas dos Polos'!$GP$2:$HC$2))</f>
        <v>0</v>
      </c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</row>
  </sheetData>
  <mergeCells count="210">
    <mergeCell ref="BF1:BS1"/>
    <mergeCell ref="BT1:CG1"/>
    <mergeCell ref="EZ1:FM1"/>
    <mergeCell ref="FN1:GA1"/>
    <mergeCell ref="GB1:GO1"/>
    <mergeCell ref="GP1:HC1"/>
    <mergeCell ref="P3:AC3"/>
    <mergeCell ref="AD3:AQ3"/>
    <mergeCell ref="AR3:BE3"/>
    <mergeCell ref="BF3:BS3"/>
    <mergeCell ref="BT3:CG3"/>
    <mergeCell ref="CH3:CU3"/>
    <mergeCell ref="CV3:DI3"/>
    <mergeCell ref="DJ3:DW3"/>
    <mergeCell ref="DX3:EK3"/>
    <mergeCell ref="EL3:EY3"/>
    <mergeCell ref="EZ3:FM3"/>
    <mergeCell ref="FN3:GA3"/>
    <mergeCell ref="CH1:CU1"/>
    <mergeCell ref="CV1:DI1"/>
    <mergeCell ref="DJ1:DW1"/>
    <mergeCell ref="DX1:EK1"/>
    <mergeCell ref="EL1:EY1"/>
    <mergeCell ref="P1:AC1"/>
    <mergeCell ref="AD1:AQ1"/>
    <mergeCell ref="AR1:BE1"/>
    <mergeCell ref="BF5:BS5"/>
    <mergeCell ref="BT5:CG5"/>
    <mergeCell ref="GB3:GO3"/>
    <mergeCell ref="GP3:HC3"/>
    <mergeCell ref="P4:AC4"/>
    <mergeCell ref="AD4:AQ4"/>
    <mergeCell ref="AR4:BE4"/>
    <mergeCell ref="BF4:BS4"/>
    <mergeCell ref="BT4:CG4"/>
    <mergeCell ref="CH4:CU4"/>
    <mergeCell ref="CV4:DI4"/>
    <mergeCell ref="DJ4:DW4"/>
    <mergeCell ref="DX4:EK4"/>
    <mergeCell ref="EL4:EY4"/>
    <mergeCell ref="EZ4:FM4"/>
    <mergeCell ref="FN4:GA4"/>
    <mergeCell ref="GB4:GO4"/>
    <mergeCell ref="GP4:HC4"/>
    <mergeCell ref="EZ5:FM5"/>
    <mergeCell ref="FN5:GA5"/>
    <mergeCell ref="GB5:GO5"/>
    <mergeCell ref="GP5:HC5"/>
    <mergeCell ref="P5:AC5"/>
    <mergeCell ref="AD5:AQ5"/>
    <mergeCell ref="AR5:BE5"/>
    <mergeCell ref="P6:AC6"/>
    <mergeCell ref="AD6:AQ6"/>
    <mergeCell ref="AR6:BE6"/>
    <mergeCell ref="BF6:BS6"/>
    <mergeCell ref="BT6:CG6"/>
    <mergeCell ref="CH6:CU6"/>
    <mergeCell ref="EZ8:FM8"/>
    <mergeCell ref="FN8:GA8"/>
    <mergeCell ref="GB8:GO8"/>
    <mergeCell ref="GP8:HC8"/>
    <mergeCell ref="EL6:EY6"/>
    <mergeCell ref="EZ6:FM6"/>
    <mergeCell ref="FN6:GA6"/>
    <mergeCell ref="CH5:CU5"/>
    <mergeCell ref="CV5:DI5"/>
    <mergeCell ref="DJ5:DW5"/>
    <mergeCell ref="DX5:EK5"/>
    <mergeCell ref="EL5:EY5"/>
    <mergeCell ref="CV6:DI6"/>
    <mergeCell ref="DJ6:DW6"/>
    <mergeCell ref="DX6:EK6"/>
    <mergeCell ref="GB6:GO6"/>
    <mergeCell ref="GP6:HC6"/>
    <mergeCell ref="EL7:EY7"/>
    <mergeCell ref="EZ7:FM7"/>
    <mergeCell ref="FN7:GA7"/>
    <mergeCell ref="GB7:GO7"/>
    <mergeCell ref="GP7:HC7"/>
    <mergeCell ref="CH8:CU8"/>
    <mergeCell ref="CV8:DI8"/>
    <mergeCell ref="P7:AC7"/>
    <mergeCell ref="AD7:AQ7"/>
    <mergeCell ref="AR7:BE7"/>
    <mergeCell ref="BF7:BS7"/>
    <mergeCell ref="BT7:CG7"/>
    <mergeCell ref="CH7:CU7"/>
    <mergeCell ref="CV7:DI7"/>
    <mergeCell ref="DJ7:DW7"/>
    <mergeCell ref="DX7:EK7"/>
    <mergeCell ref="DJ8:DW8"/>
    <mergeCell ref="DX8:EK8"/>
    <mergeCell ref="EL8:EY8"/>
    <mergeCell ref="P8:AC8"/>
    <mergeCell ref="AD8:AQ8"/>
    <mergeCell ref="AR8:BE8"/>
    <mergeCell ref="P9:AC9"/>
    <mergeCell ref="AD9:AQ9"/>
    <mergeCell ref="AR9:BE9"/>
    <mergeCell ref="BF9:BS9"/>
    <mergeCell ref="BT9:CG9"/>
    <mergeCell ref="CH9:CU9"/>
    <mergeCell ref="CV9:DI9"/>
    <mergeCell ref="DJ9:DW9"/>
    <mergeCell ref="DX9:EK9"/>
    <mergeCell ref="BF8:BS8"/>
    <mergeCell ref="BT8:CG8"/>
    <mergeCell ref="GB9:GO9"/>
    <mergeCell ref="GP9:HC9"/>
    <mergeCell ref="P10:AC10"/>
    <mergeCell ref="AD10:AQ10"/>
    <mergeCell ref="AR10:BE10"/>
    <mergeCell ref="BF10:BS10"/>
    <mergeCell ref="BT10:CG10"/>
    <mergeCell ref="CH10:CU10"/>
    <mergeCell ref="CV10:DI10"/>
    <mergeCell ref="DJ10:DW10"/>
    <mergeCell ref="DX10:EK10"/>
    <mergeCell ref="EL10:EY10"/>
    <mergeCell ref="EZ10:FM10"/>
    <mergeCell ref="FN10:GA10"/>
    <mergeCell ref="GB10:GO10"/>
    <mergeCell ref="GP10:HC10"/>
    <mergeCell ref="EL9:EY9"/>
    <mergeCell ref="EZ9:FM9"/>
    <mergeCell ref="FN9:GA9"/>
    <mergeCell ref="GB11:GO11"/>
    <mergeCell ref="GP11:HC11"/>
    <mergeCell ref="GB12:GO12"/>
    <mergeCell ref="GP12:HC12"/>
    <mergeCell ref="EL13:EY13"/>
    <mergeCell ref="EZ13:FM13"/>
    <mergeCell ref="FN13:GA13"/>
    <mergeCell ref="P11:AC11"/>
    <mergeCell ref="AD11:AQ11"/>
    <mergeCell ref="AR11:BE11"/>
    <mergeCell ref="P12:AC12"/>
    <mergeCell ref="AD12:AQ12"/>
    <mergeCell ref="AR12:BE12"/>
    <mergeCell ref="BF12:BS12"/>
    <mergeCell ref="BT12:CG12"/>
    <mergeCell ref="CH12:CU12"/>
    <mergeCell ref="BF11:BS11"/>
    <mergeCell ref="BT11:CG11"/>
    <mergeCell ref="EL12:EY12"/>
    <mergeCell ref="EZ12:FM12"/>
    <mergeCell ref="FN12:GA12"/>
    <mergeCell ref="CH11:CU11"/>
    <mergeCell ref="CV11:DI11"/>
    <mergeCell ref="DJ11:DW11"/>
    <mergeCell ref="DX11:EK11"/>
    <mergeCell ref="EL11:EY11"/>
    <mergeCell ref="CV12:DI12"/>
    <mergeCell ref="DJ12:DW12"/>
    <mergeCell ref="DX12:EK12"/>
    <mergeCell ref="EZ11:FM11"/>
    <mergeCell ref="FN11:GA11"/>
    <mergeCell ref="P14:AC14"/>
    <mergeCell ref="AD14:AQ14"/>
    <mergeCell ref="AR14:BE14"/>
    <mergeCell ref="BF14:BS14"/>
    <mergeCell ref="BT14:CG14"/>
    <mergeCell ref="P13:AC13"/>
    <mergeCell ref="AD13:AQ13"/>
    <mergeCell ref="AR13:BE13"/>
    <mergeCell ref="BF13:BS13"/>
    <mergeCell ref="BT13:CG13"/>
    <mergeCell ref="CH15:CU15"/>
    <mergeCell ref="CV15:DI15"/>
    <mergeCell ref="DJ15:DW15"/>
    <mergeCell ref="DX15:EK15"/>
    <mergeCell ref="GB13:GO13"/>
    <mergeCell ref="GP13:HC13"/>
    <mergeCell ref="CH14:CU14"/>
    <mergeCell ref="CV14:DI14"/>
    <mergeCell ref="DJ14:DW14"/>
    <mergeCell ref="DX14:EK14"/>
    <mergeCell ref="EL14:EY14"/>
    <mergeCell ref="CH13:CU13"/>
    <mergeCell ref="CV13:DI13"/>
    <mergeCell ref="DJ13:DW13"/>
    <mergeCell ref="DX13:EK13"/>
    <mergeCell ref="EZ14:FM14"/>
    <mergeCell ref="FN14:GA14"/>
    <mergeCell ref="GB14:GO14"/>
    <mergeCell ref="GP14:HC14"/>
    <mergeCell ref="GB15:GO15"/>
    <mergeCell ref="GP15:HC15"/>
    <mergeCell ref="P16:AC16"/>
    <mergeCell ref="AD16:AQ16"/>
    <mergeCell ref="AR16:BE16"/>
    <mergeCell ref="BF16:BS16"/>
    <mergeCell ref="BT16:CG16"/>
    <mergeCell ref="CH16:CU16"/>
    <mergeCell ref="CV16:DI16"/>
    <mergeCell ref="DJ16:DW16"/>
    <mergeCell ref="DX16:EK16"/>
    <mergeCell ref="EL16:EY16"/>
    <mergeCell ref="EZ16:FM16"/>
    <mergeCell ref="FN16:GA16"/>
    <mergeCell ref="GB16:GO16"/>
    <mergeCell ref="GP16:HC16"/>
    <mergeCell ref="EL15:EY15"/>
    <mergeCell ref="EZ15:FM15"/>
    <mergeCell ref="FN15:GA15"/>
    <mergeCell ref="P15:AC15"/>
    <mergeCell ref="AD15:AQ15"/>
    <mergeCell ref="AR15:BE15"/>
    <mergeCell ref="BF15:BS15"/>
    <mergeCell ref="BT15:CG15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4"/>
  <dimension ref="A1:B5"/>
  <sheetViews>
    <sheetView topLeftCell="B1" zoomScale="280" zoomScaleNormal="280" workbookViewId="0">
      <selection activeCell="B5" sqref="B5"/>
    </sheetView>
  </sheetViews>
  <sheetFormatPr defaultRowHeight="14.4" x14ac:dyDescent="0.3"/>
  <cols>
    <col min="1" max="1" width="30" bestFit="1" customWidth="1"/>
    <col min="2" max="2" width="28.44140625" bestFit="1" customWidth="1"/>
  </cols>
  <sheetData>
    <row r="1" spans="1:2" x14ac:dyDescent="0.3">
      <c r="A1" t="s">
        <v>2</v>
      </c>
      <c r="B1">
        <v>14</v>
      </c>
    </row>
    <row r="3" spans="1:2" x14ac:dyDescent="0.3">
      <c r="A3" t="s">
        <v>3</v>
      </c>
      <c r="B3">
        <f>MAX('Coordenadas dos Polos'!$P$3:$HC$16)</f>
        <v>459215.07179875142</v>
      </c>
    </row>
    <row r="5" spans="1:2" x14ac:dyDescent="0.3">
      <c r="A5" t="s">
        <v>4</v>
      </c>
      <c r="B5">
        <f>('Cálculos Diversos'!$B$3/SQRT(2*'Cálculos Diversos'!$B$1))^2</f>
        <v>7531374363.1118727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5"/>
  <dimension ref="A1:P61"/>
  <sheetViews>
    <sheetView zoomScaleNormal="100" workbookViewId="0">
      <selection activeCell="B2" sqref="B2:P61"/>
    </sheetView>
  </sheetViews>
  <sheetFormatPr defaultRowHeight="14.4" x14ac:dyDescent="0.3"/>
  <cols>
    <col min="2" max="2" width="23.21875" bestFit="1" customWidth="1"/>
    <col min="3" max="3" width="89.88671875" bestFit="1" customWidth="1"/>
  </cols>
  <sheetData>
    <row r="1" spans="1:16" x14ac:dyDescent="0.3">
      <c r="A1" t="s">
        <v>5</v>
      </c>
      <c r="B1" t="s">
        <v>6</v>
      </c>
    </row>
    <row r="2" spans="1:16" x14ac:dyDescent="0.3">
      <c r="A2">
        <v>1</v>
      </c>
      <c r="B2">
        <f>EXP(((-1)/(2*'Cálculos Diversos'!$B$5))*(SQRT(SUMXMY2('Tabela Entrada-Saída'!$B$2:$O$2,'Coordenadas dos Polos'!$P$2:$AC$2)))^2)</f>
        <v>4.3881562031239975E-2</v>
      </c>
      <c r="C2">
        <f>EXP(((-1)/(2*'Cálculos Diversos'!$B$5))*(SQRT(SUMXMY2('Tabela Entrada-Saída'!$B$2:$O$2,'Coordenadas dos Polos'!$AD$2:$AQ$2)))^2)</f>
        <v>5.7011475887465034E-5</v>
      </c>
      <c r="D2">
        <f>EXP(((-1)/(2*'Cálculos Diversos'!$B$5))*(SQRT(SUMXMY2('Tabela Entrada-Saída'!$B$2:$O$2,'Coordenadas dos Polos'!$AR$2:$BE$2)))^2)</f>
        <v>2.5820276871633561E-5</v>
      </c>
      <c r="E2">
        <f>EXP(((-1)/(2*'Cálculos Diversos'!$B$5))*(SQRT(SUMXMY2('Tabela Entrada-Saída'!$B$2:$O$2,'Coordenadas dos Polos'!$BF$2:$BS$2)))^2)</f>
        <v>5.7531273591934185E-5</v>
      </c>
      <c r="F2">
        <f>EXP(((-1)/(2*'Cálculos Diversos'!$B$5))*(SQRT(SUMXMY2('Tabela Entrada-Saída'!$B$2:$O$2,'Coordenadas dos Polos'!$BT$2:$CG$2)))^2)</f>
        <v>1.2799208016112204E-6</v>
      </c>
      <c r="G2">
        <f>EXP(((-1)/(2*'Cálculos Diversos'!$B$5))*(SQRT(SUMXMY2('Tabela Entrada-Saída'!$B$2:$O$2,'Coordenadas dos Polos'!$CH$2:$CU$2)))^2)</f>
        <v>1.1302694979363965E-4</v>
      </c>
      <c r="H2">
        <f>EXP(((-1)/(2*'Cálculos Diversos'!$B$5))*(SQRT(SUMXMY2('Tabela Entrada-Saída'!$B$2:$O$2,'Coordenadas dos Polos'!$CV$2:$DI$2)))^2)</f>
        <v>5.1271247665823155E-6</v>
      </c>
      <c r="I2">
        <f>EXP(((-1)/(2*'Cálculos Diversos'!$B$5))*(SQRT(SUMXMY2('Tabela Entrada-Saída'!$B$2:$O$2,'Coordenadas dos Polos'!$DJ$2:$DW$2)))^2)</f>
        <v>2.8629464430897036E-4</v>
      </c>
      <c r="J2">
        <f>EXP(((-1)/(2*'Cálculos Diversos'!$B$5))*(SQRT(SUMXMY2('Tabela Entrada-Saída'!$B$2:$O$2,'Coordenadas dos Polos'!$DX$2:$EK$2)))^2)</f>
        <v>8.4337302277135847E-5</v>
      </c>
      <c r="K2">
        <f>EXP(((-1)/(2*'Cálculos Diversos'!$B$5))*(SQRT(SUMXMY2('Tabela Entrada-Saída'!$B$2:$O$2,'Coordenadas dos Polos'!$EL$2:$EY$2)))^2)</f>
        <v>4.0217766676672683E-6</v>
      </c>
      <c r="L2">
        <f>EXP(((-1)/(2*'Cálculos Diversos'!$B$5))*(SQRT(SUMXMY2('Tabela Entrada-Saída'!$B$2:$O$2,'Coordenadas dos Polos'!$EZ$2:$FM$2)))^2)</f>
        <v>3.42105933073153E-7</v>
      </c>
      <c r="M2">
        <f>EXP(((-1)/(2*'Cálculos Diversos'!$B$5))*(SQRT(SUMXMY2('Tabela Entrada-Saída'!$B$2:$O$2,'Coordenadas dos Polos'!$FN$2:$GA$2)))^2)</f>
        <v>7.1735486761748716E-6</v>
      </c>
      <c r="N2">
        <f>EXP(((-1)/(2*'Cálculos Diversos'!$B$5))*(SQRT(SUMXMY2('Tabela Entrada-Saída'!$B$2:$O$2,'Coordenadas dos Polos'!$GB$2:$GO$2)))^2)</f>
        <v>1.8470156516689696E-5</v>
      </c>
      <c r="O2">
        <f>EXP(((-1)/(2*'Cálculos Diversos'!$B$5))*(SQRT(SUMXMY2('Tabela Entrada-Saída'!$B$2:$O$2,'Coordenadas dos Polos'!$GP$2:$HC$2)))^2)</f>
        <v>1.6207482849132699E-6</v>
      </c>
      <c r="P2">
        <v>1</v>
      </c>
    </row>
    <row r="3" spans="1:16" x14ac:dyDescent="0.3">
      <c r="A3">
        <v>2</v>
      </c>
      <c r="B3">
        <f>EXP(((-1)/(2*'Cálculos Diversos'!$B$5))*(SQRT(SUMXMY2('Tabela Entrada-Saída'!$B$3:$O$3,'Coordenadas dos Polos'!$P$2:$AC$2)))^2)</f>
        <v>0.1471034210165108</v>
      </c>
      <c r="C3">
        <f>EXP(((-1)/(2*'Cálculos Diversos'!$B$5))*(SQRT(SUMXMY2('Tabela Entrada-Saída'!$B$3:$O$3,'Coordenadas dos Polos'!$AD$2:$AQ$2)))^2)</f>
        <v>8.670825757636876E-5</v>
      </c>
      <c r="D3">
        <f>EXP(((-1)/(2*'Cálculos Diversos'!$B$5))*(SQRT(SUMXMY2('Tabela Entrada-Saída'!$B$3:$O$3,'Coordenadas dos Polos'!$AR$2:$BE$2)))^2)</f>
        <v>2.6234340311110617E-5</v>
      </c>
      <c r="E3">
        <f>EXP(((-1)/(2*'Cálculos Diversos'!$B$5))*(SQRT(SUMXMY2('Tabela Entrada-Saída'!$B$3:$O$3,'Coordenadas dos Polos'!$BF$2:$BS$2)))^2)</f>
        <v>1.389172058702918E-4</v>
      </c>
      <c r="F3">
        <f>EXP(((-1)/(2*'Cálculos Diversos'!$B$5))*(SQRT(SUMXMY2('Tabela Entrada-Saída'!$B$3:$O$3,'Coordenadas dos Polos'!$BT$2:$CG$2)))^2)</f>
        <v>3.8941734360802747E-6</v>
      </c>
      <c r="G3">
        <f>EXP(((-1)/(2*'Cálculos Diversos'!$B$5))*(SQRT(SUMXMY2('Tabela Entrada-Saída'!$B$3:$O$3,'Coordenadas dos Polos'!$CH$2:$CU$2)))^2)</f>
        <v>1.2682895356381913E-4</v>
      </c>
      <c r="H3">
        <f>EXP(((-1)/(2*'Cálculos Diversos'!$B$5))*(SQRT(SUMXMY2('Tabela Entrada-Saída'!$B$3:$O$3,'Coordenadas dos Polos'!$CV$2:$DI$2)))^2)</f>
        <v>6.187505010474168E-6</v>
      </c>
      <c r="I3">
        <f>EXP(((-1)/(2*'Cálculos Diversos'!$B$5))*(SQRT(SUMXMY2('Tabela Entrada-Saída'!$B$3:$O$3,'Coordenadas dos Polos'!$DJ$2:$DW$2)))^2)</f>
        <v>2.3542576313928328E-4</v>
      </c>
      <c r="J3">
        <f>EXP(((-1)/(2*'Cálculos Diversos'!$B$5))*(SQRT(SUMXMY2('Tabela Entrada-Saída'!$B$3:$O$3,'Coordenadas dos Polos'!$DX$2:$EK$2)))^2)</f>
        <v>1.0785932701526809E-4</v>
      </c>
      <c r="K3">
        <f>EXP(((-1)/(2*'Cálculos Diversos'!$B$5))*(SQRT(SUMXMY2('Tabela Entrada-Saída'!$B$3:$O$3,'Coordenadas dos Polos'!$EL$2:$EY$2)))^2)</f>
        <v>4.1665181240700851E-6</v>
      </c>
      <c r="L3">
        <f>EXP(((-1)/(2*'Cálculos Diversos'!$B$5))*(SQRT(SUMXMY2('Tabela Entrada-Saída'!$B$3:$O$3,'Coordenadas dos Polos'!$EZ$2:$FM$2)))^2)</f>
        <v>8.9631209522816096E-7</v>
      </c>
      <c r="M3">
        <f>EXP(((-1)/(2*'Cálculos Diversos'!$B$5))*(SQRT(SUMXMY2('Tabela Entrada-Saída'!$B$3:$O$3,'Coordenadas dos Polos'!$FN$2:$GA$2)))^2)</f>
        <v>1.7447808485469932E-5</v>
      </c>
      <c r="N3">
        <f>EXP(((-1)/(2*'Cálculos Diversos'!$B$5))*(SQRT(SUMXMY2('Tabela Entrada-Saída'!$B$3:$O$3,'Coordenadas dos Polos'!$GB$2:$GO$2)))^2)</f>
        <v>4.2264191100028841E-5</v>
      </c>
      <c r="O3">
        <f>EXP(((-1)/(2*'Cálculos Diversos'!$B$5))*(SQRT(SUMXMY2('Tabela Entrada-Saída'!$B$3:$O$3,'Coordenadas dos Polos'!$GP$2:$HC$2)))^2)</f>
        <v>3.3025128480408538E-6</v>
      </c>
      <c r="P3">
        <v>1</v>
      </c>
    </row>
    <row r="4" spans="1:16" x14ac:dyDescent="0.3">
      <c r="A4">
        <v>3</v>
      </c>
      <c r="B4">
        <f>EXP(((-1)/(2*'Cálculos Diversos'!$B$5))*(SQRT(SUMXMY2('Tabela Entrada-Saída'!$B$4:$O$4,'Coordenadas dos Polos'!$P$2:$AC$2)))^2)</f>
        <v>5.2441165468595952E-2</v>
      </c>
      <c r="C4">
        <f>EXP(((-1)/(2*'Cálculos Diversos'!$B$5))*(SQRT(SUMXMY2('Tabela Entrada-Saída'!$B$4:$O$4,'Coordenadas dos Polos'!$AD$2:$AQ$2)))^2)</f>
        <v>6.1467849440522573E-5</v>
      </c>
      <c r="D4">
        <f>EXP(((-1)/(2*'Cálculos Diversos'!$B$5))*(SQRT(SUMXMY2('Tabela Entrada-Saída'!$B$4:$O$4,'Coordenadas dos Polos'!$AR$2:$BE$2)))^2)</f>
        <v>2.6418938969634237E-5</v>
      </c>
      <c r="E4">
        <f>EXP(((-1)/(2*'Cálculos Diversos'!$B$5))*(SQRT(SUMXMY2('Tabela Entrada-Saída'!$B$4:$O$4,'Coordenadas dos Polos'!$BF$2:$BS$2)))^2)</f>
        <v>6.5911908352438067E-5</v>
      </c>
      <c r="F4">
        <f>EXP(((-1)/(2*'Cálculos Diversos'!$B$5))*(SQRT(SUMXMY2('Tabela Entrada-Saída'!$B$4:$O$4,'Coordenadas dos Polos'!$BT$2:$CG$2)))^2)</f>
        <v>1.51187834422745E-6</v>
      </c>
      <c r="G4">
        <f>EXP(((-1)/(2*'Cálculos Diversos'!$B$5))*(SQRT(SUMXMY2('Tabela Entrada-Saída'!$B$4:$O$4,'Coordenadas dos Polos'!$CH$2:$CU$2)))^2)</f>
        <v>1.1743825631951277E-4</v>
      </c>
      <c r="H4">
        <f>EXP(((-1)/(2*'Cálculos Diversos'!$B$5))*(SQRT(SUMXMY2('Tabela Entrada-Saída'!$B$4:$O$4,'Coordenadas dos Polos'!$CV$2:$DI$2)))^2)</f>
        <v>5.3557983539477027E-6</v>
      </c>
      <c r="I4">
        <f>EXP(((-1)/(2*'Cálculos Diversos'!$B$5))*(SQRT(SUMXMY2('Tabela Entrada-Saída'!$B$4:$O$4,'Coordenadas dos Polos'!$DJ$2:$DW$2)))^2)</f>
        <v>2.8543428326251793E-4</v>
      </c>
      <c r="J4">
        <f>EXP(((-1)/(2*'Cálculos Diversos'!$B$5))*(SQRT(SUMXMY2('Tabela Entrada-Saída'!$B$4:$O$4,'Coordenadas dos Polos'!$DX$2:$EK$2)))^2)</f>
        <v>8.9066184726279457E-5</v>
      </c>
      <c r="K4">
        <f>EXP(((-1)/(2*'Cálculos Diversos'!$B$5))*(SQRT(SUMXMY2('Tabela Entrada-Saída'!$B$4:$O$4,'Coordenadas dos Polos'!$EL$2:$EY$2)))^2)</f>
        <v>4.1248712081083193E-6</v>
      </c>
      <c r="L4">
        <f>EXP(((-1)/(2*'Cálculos Diversos'!$B$5))*(SQRT(SUMXMY2('Tabela Entrada-Saída'!$B$4:$O$4,'Coordenadas dos Polos'!$EZ$2:$FM$2)))^2)</f>
        <v>3.9599789676801022E-7</v>
      </c>
      <c r="M4">
        <f>EXP(((-1)/(2*'Cálculos Diversos'!$B$5))*(SQRT(SUMXMY2('Tabela Entrada-Saída'!$B$4:$O$4,'Coordenadas dos Polos'!$FN$2:$GA$2)))^2)</f>
        <v>8.2212675767434989E-6</v>
      </c>
      <c r="N4">
        <f>EXP(((-1)/(2*'Cálculos Diversos'!$B$5))*(SQRT(SUMXMY2('Tabela Entrada-Saída'!$B$4:$O$4,'Coordenadas dos Polos'!$GB$2:$GO$2)))^2)</f>
        <v>2.0965586590228783E-5</v>
      </c>
      <c r="O4">
        <f>EXP(((-1)/(2*'Cálculos Diversos'!$B$5))*(SQRT(SUMXMY2('Tabela Entrada-Saída'!$B$4:$O$4,'Coordenadas dos Polos'!$GP$2:$HC$2)))^2)</f>
        <v>1.8183846166122137E-6</v>
      </c>
      <c r="P4">
        <v>1</v>
      </c>
    </row>
    <row r="5" spans="1:16" x14ac:dyDescent="0.3">
      <c r="A5">
        <v>4</v>
      </c>
      <c r="B5">
        <f>EXP(((-1)/(2*'Cálculos Diversos'!$B$5))*(SQRT(SUMXMY2('Tabela Entrada-Saída'!$B$5:$O$5,'Coordenadas dos Polos'!$P$2:$AC$2)))^2)</f>
        <v>0.15623765205984649</v>
      </c>
      <c r="C5">
        <f>EXP(((-1)/(2*'Cálculos Diversos'!$B$5))*(SQRT(SUMXMY2('Tabela Entrada-Saída'!$B$5:$O$5,'Coordenadas dos Polos'!$AD$2:$AQ$2)))^2)</f>
        <v>8.7347020215541171E-5</v>
      </c>
      <c r="D5">
        <f>EXP(((-1)/(2*'Cálculos Diversos'!$B$5))*(SQRT(SUMXMY2('Tabela Entrada-Saída'!$B$5:$O$5,'Coordenadas dos Polos'!$AR$2:$BE$2)))^2)</f>
        <v>2.5784634716482277E-5</v>
      </c>
      <c r="E5">
        <f>EXP(((-1)/(2*'Cálculos Diversos'!$B$5))*(SQRT(SUMXMY2('Tabela Entrada-Saída'!$B$5:$O$5,'Coordenadas dos Polos'!$BF$2:$BS$2)))^2)</f>
        <v>1.4442665503531726E-4</v>
      </c>
      <c r="F5">
        <f>EXP(((-1)/(2*'Cálculos Diversos'!$B$5))*(SQRT(SUMXMY2('Tabela Entrada-Saída'!$B$5:$O$5,'Coordenadas dos Polos'!$BT$2:$CG$2)))^2)</f>
        <v>4.0992399815132339E-6</v>
      </c>
      <c r="G5">
        <f>EXP(((-1)/(2*'Cálculos Diversos'!$B$5))*(SQRT(SUMXMY2('Tabela Entrada-Saída'!$B$5:$O$5,'Coordenadas dos Polos'!$CH$2:$CU$2)))^2)</f>
        <v>1.2588477996619354E-4</v>
      </c>
      <c r="H5">
        <f>EXP(((-1)/(2*'Cálculos Diversos'!$B$5))*(SQRT(SUMXMY2('Tabela Entrada-Saída'!$B$5:$O$5,'Coordenadas dos Polos'!$CV$2:$DI$2)))^2)</f>
        <v>6.1165290900829229E-6</v>
      </c>
      <c r="I5">
        <f>EXP(((-1)/(2*'Cálculos Diversos'!$B$5))*(SQRT(SUMXMY2('Tabela Entrada-Saída'!$B$5:$O$5,'Coordenadas dos Polos'!$DJ$2:$DW$2)))^2)</f>
        <v>2.2930715015250357E-4</v>
      </c>
      <c r="J5">
        <f>EXP(((-1)/(2*'Cálculos Diversos'!$B$5))*(SQRT(SUMXMY2('Tabela Entrada-Saída'!$B$5:$O$5,'Coordenadas dos Polos'!$DX$2:$EK$2)))^2)</f>
        <v>1.0741576011066424E-4</v>
      </c>
      <c r="K5">
        <f>EXP(((-1)/(2*'Cálculos Diversos'!$B$5))*(SQRT(SUMXMY2('Tabela Entrada-Saída'!$B$5:$O$5,'Coordenadas dos Polos'!$EL$2:$EY$2)))^2)</f>
        <v>4.1016965575157992E-6</v>
      </c>
      <c r="L5">
        <f>EXP(((-1)/(2*'Cálculos Diversos'!$B$5))*(SQRT(SUMXMY2('Tabela Entrada-Saída'!$B$5:$O$5,'Coordenadas dos Polos'!$EZ$2:$FM$2)))^2)</f>
        <v>9.3298020982650987E-7</v>
      </c>
      <c r="M5">
        <f>EXP(((-1)/(2*'Cálculos Diversos'!$B$5))*(SQRT(SUMXMY2('Tabela Entrada-Saída'!$B$5:$O$5,'Coordenadas dos Polos'!$FN$2:$GA$2)))^2)</f>
        <v>1.81149347217622E-5</v>
      </c>
      <c r="N5">
        <f>EXP(((-1)/(2*'Cálculos Diversos'!$B$5))*(SQRT(SUMXMY2('Tabela Entrada-Saída'!$B$5:$O$5,'Coordenadas dos Polos'!$GB$2:$GO$2)))^2)</f>
        <v>4.3476287481355597E-5</v>
      </c>
      <c r="O5">
        <f>EXP(((-1)/(2*'Cálculos Diversos'!$B$5))*(SQRT(SUMXMY2('Tabela Entrada-Saída'!$B$5:$O$5,'Coordenadas dos Polos'!$GP$2:$HC$2)))^2)</f>
        <v>3.4011965117829002E-6</v>
      </c>
      <c r="P5">
        <v>1</v>
      </c>
    </row>
    <row r="6" spans="1:16" x14ac:dyDescent="0.3">
      <c r="A6">
        <v>5</v>
      </c>
      <c r="B6">
        <f>EXP(((-1)/(2*'Cálculos Diversos'!$B$5))*(SQRT(SUMXMY2('Tabela Entrada-Saída'!$B$6:$O$6,'Coordenadas dos Polos'!$P$2:$AC$2)))^2)</f>
        <v>8.1440534091009847E-2</v>
      </c>
      <c r="C6">
        <f>EXP(((-1)/(2*'Cálculos Diversos'!$B$5))*(SQRT(SUMXMY2('Tabela Entrada-Saída'!$B$6:$O$6,'Coordenadas dos Polos'!$AD$2:$AQ$2)))^2)</f>
        <v>7.2433445721814698E-5</v>
      </c>
      <c r="D6">
        <f>EXP(((-1)/(2*'Cálculos Diversos'!$B$5))*(SQRT(SUMXMY2('Tabela Entrada-Saída'!$B$6:$O$6,'Coordenadas dos Polos'!$AR$2:$BE$2)))^2)</f>
        <v>2.7190680071038779E-5</v>
      </c>
      <c r="E6">
        <f>EXP(((-1)/(2*'Cálculos Diversos'!$B$5))*(SQRT(SUMXMY2('Tabela Entrada-Saída'!$B$6:$O$6,'Coordenadas dos Polos'!$BF$2:$BS$2)))^2)</f>
        <v>9.1296122741671551E-5</v>
      </c>
      <c r="F6">
        <f>EXP(((-1)/(2*'Cálculos Diversos'!$B$5))*(SQRT(SUMXMY2('Tabela Entrada-Saída'!$B$6:$O$6,'Coordenadas dos Polos'!$BT$2:$CG$2)))^2)</f>
        <v>2.2643169236277596E-6</v>
      </c>
      <c r="G6">
        <f>EXP(((-1)/(2*'Cálculos Diversos'!$B$5))*(SQRT(SUMXMY2('Tabela Entrada-Saída'!$B$6:$O$6,'Coordenadas dos Polos'!$CH$2:$CU$2)))^2)</f>
        <v>1.2508903573945715E-4</v>
      </c>
      <c r="H6">
        <f>EXP(((-1)/(2*'Cálculos Diversos'!$B$5))*(SQRT(SUMXMY2('Tabela Entrada-Saída'!$B$6:$O$6,'Coordenadas dos Polos'!$CV$2:$DI$2)))^2)</f>
        <v>5.8112070785881822E-6</v>
      </c>
      <c r="I6">
        <f>EXP(((-1)/(2*'Cálculos Diversos'!$B$5))*(SQRT(SUMXMY2('Tabela Entrada-Saída'!$B$6:$O$6,'Coordenadas dos Polos'!$DJ$2:$DW$2)))^2)</f>
        <v>2.7413893527236259E-4</v>
      </c>
      <c r="J6">
        <f>EXP(((-1)/(2*'Cálculos Diversos'!$B$5))*(SQRT(SUMXMY2('Tabela Entrada-Saída'!$B$6:$O$6,'Coordenadas dos Polos'!$DX$2:$EK$2)))^2)</f>
        <v>9.8911417630490603E-5</v>
      </c>
      <c r="K6">
        <f>EXP(((-1)/(2*'Cálculos Diversos'!$B$5))*(SQRT(SUMXMY2('Tabela Entrada-Saída'!$B$6:$O$6,'Coordenadas dos Polos'!$EL$2:$EY$2)))^2)</f>
        <v>4.267573211209555E-6</v>
      </c>
      <c r="L6">
        <f>EXP(((-1)/(2*'Cálculos Diversos'!$B$5))*(SQRT(SUMXMY2('Tabela Entrada-Saída'!$B$6:$O$6,'Coordenadas dos Polos'!$EZ$2:$FM$2)))^2)</f>
        <v>5.6262516328707072E-7</v>
      </c>
      <c r="M6">
        <f>EXP(((-1)/(2*'Cálculos Diversos'!$B$5))*(SQRT(SUMXMY2('Tabela Entrada-Saída'!$B$6:$O$6,'Coordenadas dos Polos'!$FN$2:$GA$2)))^2)</f>
        <v>1.1395664136399508E-5</v>
      </c>
      <c r="N6">
        <f>EXP(((-1)/(2*'Cálculos Diversos'!$B$5))*(SQRT(SUMXMY2('Tabela Entrada-Saída'!$B$6:$O$6,'Coordenadas dos Polos'!$GB$2:$GO$2)))^2)</f>
        <v>2.8326543802113873E-5</v>
      </c>
      <c r="O6">
        <f>EXP(((-1)/(2*'Cálculos Diversos'!$B$5))*(SQRT(SUMXMY2('Tabela Entrada-Saída'!$B$6:$O$6,'Coordenadas dos Polos'!$GP$2:$HC$2)))^2)</f>
        <v>2.3780521988993069E-6</v>
      </c>
      <c r="P6">
        <v>1</v>
      </c>
    </row>
    <row r="7" spans="1:16" x14ac:dyDescent="0.3">
      <c r="A7">
        <v>6</v>
      </c>
      <c r="B7">
        <f>EXP(((-1)/(2*'Cálculos Diversos'!$B$5))*(SQRT(SUMXMY2('Tabela Entrada-Saída'!$B$7:$O$7,'Coordenadas dos Polos'!$P$2:$AC$2)))^2)</f>
        <v>0.10669697698072381</v>
      </c>
      <c r="C7">
        <f>EXP(((-1)/(2*'Cálculos Diversos'!$B$5))*(SQRT(SUMXMY2('Tabela Entrada-Saída'!$B$7:$O$7,'Coordenadas dos Polos'!$AD$2:$AQ$2)))^2)</f>
        <v>7.9527794161362051E-5</v>
      </c>
      <c r="D7">
        <f>EXP(((-1)/(2*'Cálculos Diversos'!$B$5))*(SQRT(SUMXMY2('Tabela Entrada-Saída'!$B$7:$O$7,'Coordenadas dos Polos'!$AR$2:$BE$2)))^2)</f>
        <v>2.7153407154629248E-5</v>
      </c>
      <c r="E7">
        <f>EXP(((-1)/(2*'Cálculos Diversos'!$B$5))*(SQRT(SUMXMY2('Tabela Entrada-Saída'!$B$7:$O$7,'Coordenadas dos Polos'!$BF$2:$BS$2)))^2)</f>
        <v>1.1121814459093922E-4</v>
      </c>
      <c r="F7">
        <f>EXP(((-1)/(2*'Cálculos Diversos'!$B$5))*(SQRT(SUMXMY2('Tabela Entrada-Saída'!$B$7:$O$7,'Coordenadas dos Polos'!$BT$2:$CG$2)))^2)</f>
        <v>2.9074025391531147E-6</v>
      </c>
      <c r="G7">
        <f>EXP(((-1)/(2*'Cálculos Diversos'!$B$5))*(SQRT(SUMXMY2('Tabela Entrada-Saída'!$B$7:$O$7,'Coordenadas dos Polos'!$CH$2:$CU$2)))^2)</f>
        <v>1.2791795546245757E-4</v>
      </c>
      <c r="H7">
        <f>EXP(((-1)/(2*'Cálculos Diversos'!$B$5))*(SQRT(SUMXMY2('Tabela Entrada-Saída'!$B$7:$O$7,'Coordenadas dos Polos'!$CV$2:$DI$2)))^2)</f>
        <v>6.0569918816603218E-6</v>
      </c>
      <c r="I7">
        <f>EXP(((-1)/(2*'Cálculos Diversos'!$B$5))*(SQRT(SUMXMY2('Tabela Entrada-Saída'!$B$7:$O$7,'Coordenadas dos Polos'!$DJ$2:$DW$2)))^2)</f>
        <v>2.6052706051467116E-4</v>
      </c>
      <c r="J7">
        <f>EXP(((-1)/(2*'Cálculos Diversos'!$B$5))*(SQRT(SUMXMY2('Tabela Entrada-Saída'!$B$7:$O$7,'Coordenadas dos Polos'!$DX$2:$EK$2)))^2)</f>
        <v>1.0425516403981671E-4</v>
      </c>
      <c r="K7">
        <f>EXP(((-1)/(2*'Cálculos Diversos'!$B$5))*(SQRT(SUMXMY2('Tabela Entrada-Saída'!$B$7:$O$7,'Coordenadas dos Polos'!$EL$2:$EY$2)))^2)</f>
        <v>4.2876741162935301E-6</v>
      </c>
      <c r="L7">
        <f>EXP(((-1)/(2*'Cálculos Diversos'!$B$5))*(SQRT(SUMXMY2('Tabela Entrada-Saída'!$B$7:$O$7,'Coordenadas dos Polos'!$EZ$2:$FM$2)))^2)</f>
        <v>6.9868455849864213E-7</v>
      </c>
      <c r="M7">
        <f>EXP(((-1)/(2*'Cálculos Diversos'!$B$5))*(SQRT(SUMXMY2('Tabela Entrada-Saída'!$B$7:$O$7,'Coordenadas dos Polos'!$FN$2:$GA$2)))^2)</f>
        <v>1.3918633217316382E-5</v>
      </c>
      <c r="N7">
        <f>EXP(((-1)/(2*'Cálculos Diversos'!$B$5))*(SQRT(SUMXMY2('Tabela Entrada-Saída'!$B$7:$O$7,'Coordenadas dos Polos'!$GB$2:$GO$2)))^2)</f>
        <v>3.4167228740048922E-5</v>
      </c>
      <c r="O7">
        <f>EXP(((-1)/(2*'Cálculos Diversos'!$B$5))*(SQRT(SUMXMY2('Tabela Entrada-Saída'!$B$7:$O$7,'Coordenadas dos Polos'!$GP$2:$HC$2)))^2)</f>
        <v>2.7854781630502366E-6</v>
      </c>
      <c r="P7">
        <v>1</v>
      </c>
    </row>
    <row r="8" spans="1:16" x14ac:dyDescent="0.3">
      <c r="A8">
        <v>7</v>
      </c>
      <c r="B8">
        <f>EXP(((-1)/(2*'Cálculos Diversos'!$B$5))*(SQRT(SUMXMY2('Tabela Entrada-Saída'!$B$8:$O$8,'Coordenadas dos Polos'!$P$2:$AC$2)))^2)</f>
        <v>0.1985041960742942</v>
      </c>
      <c r="C8">
        <f>EXP(((-1)/(2*'Cálculos Diversos'!$B$5))*(SQRT(SUMXMY2('Tabela Entrada-Saída'!$B$8:$O$8,'Coordenadas dos Polos'!$AD$2:$AQ$2)))^2)</f>
        <v>9.0750252025785831E-5</v>
      </c>
      <c r="D8">
        <f>EXP(((-1)/(2*'Cálculos Diversos'!$B$5))*(SQRT(SUMXMY2('Tabela Entrada-Saída'!$B$8:$O$8,'Coordenadas dos Polos'!$AR$2:$BE$2)))^2)</f>
        <v>2.4146556719980356E-5</v>
      </c>
      <c r="E8">
        <f>EXP(((-1)/(2*'Cálculos Diversos'!$B$5))*(SQRT(SUMXMY2('Tabela Entrada-Saída'!$B$8:$O$8,'Coordenadas dos Polos'!$BF$2:$BS$2)))^2)</f>
        <v>1.6871108702822807E-4</v>
      </c>
      <c r="F8">
        <f>EXP(((-1)/(2*'Cálculos Diversos'!$B$5))*(SQRT(SUMXMY2('Tabela Entrada-Saída'!$B$8:$O$8,'Coordenadas dos Polos'!$BT$2:$CG$2)))^2)</f>
        <v>5.0857859105462325E-6</v>
      </c>
      <c r="G8">
        <f>EXP(((-1)/(2*'Cálculos Diversos'!$B$5))*(SQRT(SUMXMY2('Tabela Entrada-Saída'!$B$8:$O$8,'Coordenadas dos Polos'!$CH$2:$CU$2)))^2)</f>
        <v>1.2074985229152855E-4</v>
      </c>
      <c r="H8">
        <f>EXP(((-1)/(2*'Cálculos Diversos'!$B$5))*(SQRT(SUMXMY2('Tabela Entrada-Saída'!$B$8:$O$8,'Coordenadas dos Polos'!$CV$2:$DI$2)))^2)</f>
        <v>6.0017916341842354E-6</v>
      </c>
      <c r="I8">
        <f>EXP(((-1)/(2*'Cálculos Diversos'!$B$5))*(SQRT(SUMXMY2('Tabela Entrada-Saída'!$B$8:$O$8,'Coordenadas dos Polos'!$DJ$2:$DW$2)))^2)</f>
        <v>2.0297855596718546E-4</v>
      </c>
      <c r="J8">
        <f>EXP(((-1)/(2*'Cálculos Diversos'!$B$5))*(SQRT(SUMXMY2('Tabela Entrada-Saída'!$B$8:$O$8,'Coordenadas dos Polos'!$DX$2:$EK$2)))^2)</f>
        <v>1.0681234729778749E-4</v>
      </c>
      <c r="K8">
        <f>EXP(((-1)/(2*'Cálculos Diversos'!$B$5))*(SQRT(SUMXMY2('Tabela Entrada-Saída'!$B$8:$O$8,'Coordenadas dos Polos'!$EL$2:$EY$2)))^2)</f>
        <v>3.8601674641845435E-6</v>
      </c>
      <c r="L8">
        <f>EXP(((-1)/(2*'Cálculos Diversos'!$B$5))*(SQRT(SUMXMY2('Tabela Entrada-Saída'!$B$8:$O$8,'Coordenadas dos Polos'!$EZ$2:$FM$2)))^2)</f>
        <v>1.1149339200659107E-6</v>
      </c>
      <c r="M8">
        <f>EXP(((-1)/(2*'Cálculos Diversos'!$B$5))*(SQRT(SUMXMY2('Tabela Entrada-Saída'!$B$8:$O$8,'Coordenadas dos Polos'!$FN$2:$GA$2)))^2)</f>
        <v>2.1217709287288361E-5</v>
      </c>
      <c r="N8">
        <f>EXP(((-1)/(2*'Cálculos Diversos'!$B$5))*(SQRT(SUMXMY2('Tabela Entrada-Saída'!$B$8:$O$8,'Coordenadas dos Polos'!$GB$2:$GO$2)))^2)</f>
        <v>5.0274899629586192E-5</v>
      </c>
      <c r="O8">
        <f>EXP(((-1)/(2*'Cálculos Diversos'!$B$5))*(SQRT(SUMXMY2('Tabela Entrada-Saída'!$B$8:$O$8,'Coordenadas dos Polos'!$GP$2:$HC$2)))^2)</f>
        <v>3.8021387507706786E-6</v>
      </c>
      <c r="P8">
        <v>1</v>
      </c>
    </row>
    <row r="9" spans="1:16" x14ac:dyDescent="0.3">
      <c r="A9">
        <v>8</v>
      </c>
      <c r="B9">
        <f>EXP(((-1)/(2*'Cálculos Diversos'!$B$5))*(SQRT(SUMXMY2('Tabela Entrada-Saída'!$B$9:$O$9,'Coordenadas dos Polos'!$P$2:$AC$2)))^2)</f>
        <v>3.6487363872332271E-2</v>
      </c>
      <c r="C9">
        <f>EXP(((-1)/(2*'Cálculos Diversos'!$B$5))*(SQRT(SUMXMY2('Tabela Entrada-Saída'!$B$9:$O$9,'Coordenadas dos Polos'!$AD$2:$AQ$2)))^2)</f>
        <v>5.1970201265103967E-5</v>
      </c>
      <c r="D9">
        <f>EXP(((-1)/(2*'Cálculos Diversos'!$B$5))*(SQRT(SUMXMY2('Tabela Entrada-Saída'!$B$9:$O$9,'Coordenadas dos Polos'!$AR$2:$BE$2)))^2)</f>
        <v>2.4830799074159422E-5</v>
      </c>
      <c r="E9">
        <f>EXP(((-1)/(2*'Cálculos Diversos'!$B$5))*(SQRT(SUMXMY2('Tabela Entrada-Saída'!$B$9:$O$9,'Coordenadas dos Polos'!$BF$2:$BS$2)))^2)</f>
        <v>4.9736667434845923E-5</v>
      </c>
      <c r="F9">
        <f>EXP(((-1)/(2*'Cálculos Diversos'!$B$5))*(SQRT(SUMXMY2('Tabela Entrada-Saída'!$B$9:$O$9,'Coordenadas dos Polos'!$BT$2:$CG$2)))^2)</f>
        <v>1.0755569772304148E-6</v>
      </c>
      <c r="G9">
        <f>EXP(((-1)/(2*'Cálculos Diversos'!$B$5))*(SQRT(SUMXMY2('Tabela Entrada-Saída'!$B$9:$O$9,'Coordenadas dos Polos'!$CH$2:$CU$2)))^2)</f>
        <v>1.078109334533265E-4</v>
      </c>
      <c r="H9">
        <f>EXP(((-1)/(2*'Cálculos Diversos'!$B$5))*(SQRT(SUMXMY2('Tabela Entrada-Saída'!$B$9:$O$9,'Coordenadas dos Polos'!$CV$2:$DI$2)))^2)</f>
        <v>4.78364998505906E-6</v>
      </c>
      <c r="I9">
        <f>EXP(((-1)/(2*'Cálculos Diversos'!$B$5))*(SQRT(SUMXMY2('Tabela Entrada-Saída'!$B$9:$O$9,'Coordenadas dos Polos'!$DJ$2:$DW$2)))^2)</f>
        <v>2.8424577627127168E-4</v>
      </c>
      <c r="J9">
        <f>EXP(((-1)/(2*'Cálculos Diversos'!$B$5))*(SQRT(SUMXMY2('Tabela Entrada-Saída'!$B$9:$O$9,'Coordenadas dos Polos'!$DX$2:$EK$2)))^2)</f>
        <v>7.8853647867119678E-5</v>
      </c>
      <c r="K9">
        <f>EXP(((-1)/(2*'Cálculos Diversos'!$B$5))*(SQRT(SUMXMY2('Tabela Entrada-Saída'!$B$9:$O$9,'Coordenadas dos Polos'!$EL$2:$EY$2)))^2)</f>
        <v>3.8505800764532077E-6</v>
      </c>
      <c r="L9">
        <f>EXP(((-1)/(2*'Cálculos Diversos'!$B$5))*(SQRT(SUMXMY2('Tabela Entrada-Saída'!$B$9:$O$9,'Coordenadas dos Polos'!$EZ$2:$FM$2)))^2)</f>
        <v>2.9202823964245286E-7</v>
      </c>
      <c r="M9">
        <f>EXP(((-1)/(2*'Cálculos Diversos'!$B$5))*(SQRT(SUMXMY2('Tabela Entrada-Saída'!$B$9:$O$9,'Coordenadas dos Polos'!$FN$2:$GA$2)))^2)</f>
        <v>6.1783486235898294E-6</v>
      </c>
      <c r="N9">
        <f>EXP(((-1)/(2*'Cálculos Diversos'!$B$5))*(SQRT(SUMXMY2('Tabela Entrada-Saída'!$B$9:$O$9,'Coordenadas dos Polos'!$GB$2:$GO$2)))^2)</f>
        <v>1.5920949295787018E-5</v>
      </c>
      <c r="O9">
        <f>EXP(((-1)/(2*'Cálculos Diversos'!$B$5))*(SQRT(SUMXMY2('Tabela Entrada-Saída'!$B$9:$O$9,'Coordenadas dos Polos'!$GP$2:$HC$2)))^2)</f>
        <v>1.435022837136933E-6</v>
      </c>
      <c r="P9">
        <v>1</v>
      </c>
    </row>
    <row r="10" spans="1:16" x14ac:dyDescent="0.3">
      <c r="A10">
        <v>9</v>
      </c>
      <c r="B10">
        <f>EXP(((-1)/(2*'Cálculos Diversos'!$B$5))*(SQRT(SUMXMY2('Tabela Entrada-Saída'!$B$10:$O$10,'Coordenadas dos Polos'!$P$2:$AC$2)))^2)</f>
        <v>0.2650513075889403</v>
      </c>
      <c r="C10">
        <f>EXP(((-1)/(2*'Cálculos Diversos'!$B$5))*(SQRT(SUMXMY2('Tabela Entrada-Saída'!$B$10:$O$10,'Coordenadas dos Polos'!$AD$2:$AQ$2)))^2)</f>
        <v>9.1031077176061931E-5</v>
      </c>
      <c r="D10">
        <f>EXP(((-1)/(2*'Cálculos Diversos'!$B$5))*(SQRT(SUMXMY2('Tabela Entrada-Saída'!$B$10:$O$10,'Coordenadas dos Polos'!$AR$2:$BE$2)))^2)</f>
        <v>2.0946891903512887E-5</v>
      </c>
      <c r="E10">
        <f>EXP(((-1)/(2*'Cálculos Diversos'!$B$5))*(SQRT(SUMXMY2('Tabela Entrada-Saída'!$B$10:$O$10,'Coordenadas dos Polos'!$BF$2:$BS$2)))^2)</f>
        <v>2.0042560206624357E-4</v>
      </c>
      <c r="F10">
        <f>EXP(((-1)/(2*'Cálculos Diversos'!$B$5))*(SQRT(SUMXMY2('Tabela Entrada-Saída'!$B$10:$O$10,'Coordenadas dos Polos'!$BT$2:$CG$2)))^2)</f>
        <v>6.5548866071322997E-6</v>
      </c>
      <c r="G10">
        <f>EXP(((-1)/(2*'Cálculos Diversos'!$B$5))*(SQRT(SUMXMY2('Tabela Entrada-Saída'!$B$10:$O$10,'Coordenadas dos Polos'!$CH$2:$CU$2)))^2)</f>
        <v>1.0897872477933214E-4</v>
      </c>
      <c r="H10">
        <f>EXP(((-1)/(2*'Cálculos Diversos'!$B$5))*(SQRT(SUMXMY2('Tabela Entrada-Saída'!$B$10:$O$10,'Coordenadas dos Polos'!$CV$2:$DI$2)))^2)</f>
        <v>5.5115890173627785E-6</v>
      </c>
      <c r="I10">
        <f>EXP(((-1)/(2*'Cálculos Diversos'!$B$5))*(SQRT(SUMXMY2('Tabela Entrada-Saída'!$B$10:$O$10,'Coordenadas dos Polos'!$DJ$2:$DW$2)))^2)</f>
        <v>1.6387321702198473E-4</v>
      </c>
      <c r="J10">
        <f>EXP(((-1)/(2*'Cálculos Diversos'!$B$5))*(SQRT(SUMXMY2('Tabela Entrada-Saída'!$B$10:$O$10,'Coordenadas dos Polos'!$DX$2:$EK$2)))^2)</f>
        <v>1.0057279048205652E-4</v>
      </c>
      <c r="K10">
        <f>EXP(((-1)/(2*'Cálculos Diversos'!$B$5))*(SQRT(SUMXMY2('Tabela Entrada-Saída'!$B$10:$O$10,'Coordenadas dos Polos'!$EL$2:$EY$2)))^2)</f>
        <v>3.3733320832314039E-6</v>
      </c>
      <c r="L10">
        <f>EXP(((-1)/(2*'Cálculos Diversos'!$B$5))*(SQRT(SUMXMY2('Tabela Entrada-Saída'!$B$10:$O$10,'Coordenadas dos Polos'!$EZ$2:$FM$2)))^2)</f>
        <v>1.3594611176113364E-6</v>
      </c>
      <c r="M10">
        <f>EXP(((-1)/(2*'Cálculos Diversos'!$B$5))*(SQRT(SUMXMY2('Tabela Entrada-Saída'!$B$10:$O$10,'Coordenadas dos Polos'!$FN$2:$GA$2)))^2)</f>
        <v>2.5234337527395664E-5</v>
      </c>
      <c r="N10">
        <f>EXP(((-1)/(2*'Cálculos Diversos'!$B$5))*(SQRT(SUMXMY2('Tabela Entrada-Saída'!$B$10:$O$10,'Coordenadas dos Polos'!$GB$2:$GO$2)))^2)</f>
        <v>5.8111729818289454E-5</v>
      </c>
      <c r="O10">
        <f>EXP(((-1)/(2*'Cálculos Diversos'!$B$5))*(SQRT(SUMXMY2('Tabela Entrada-Saída'!$B$10:$O$10,'Coordenadas dos Polos'!$GP$2:$HC$2)))^2)</f>
        <v>4.2531598152354216E-6</v>
      </c>
      <c r="P10">
        <v>1</v>
      </c>
    </row>
    <row r="11" spans="1:16" x14ac:dyDescent="0.3">
      <c r="A11">
        <v>10</v>
      </c>
      <c r="B11">
        <f>EXP(((-1)/(2*'Cálculos Diversos'!$B$5))*(SQRT(SUMXMY2('Tabela Entrada-Saída'!$B$11:$O$11,'Coordenadas dos Polos'!$P$2:$AC$2)))^2)</f>
        <v>0.20351843783551424</v>
      </c>
      <c r="C11">
        <f>EXP(((-1)/(2*'Cálculos Diversos'!$B$5))*(SQRT(SUMXMY2('Tabela Entrada-Saída'!$B$11:$O$11,'Coordenadas dos Polos'!$AD$2:$AQ$2)))^2)</f>
        <v>9.1306296429971196E-5</v>
      </c>
      <c r="D11">
        <f>EXP(((-1)/(2*'Cálculos Diversos'!$B$5))*(SQRT(SUMXMY2('Tabela Entrada-Saída'!$B$11:$O$11,'Coordenadas dos Polos'!$AR$2:$BE$2)))^2)</f>
        <v>2.3978620425817651E-5</v>
      </c>
      <c r="E11">
        <f>EXP(((-1)/(2*'Cálculos Diversos'!$B$5))*(SQRT(SUMXMY2('Tabela Entrada-Saída'!$B$11:$O$11,'Coordenadas dos Polos'!$BF$2:$BS$2)))^2)</f>
        <v>1.7165585663566081E-4</v>
      </c>
      <c r="F11">
        <f>EXP(((-1)/(2*'Cálculos Diversos'!$B$5))*(SQRT(SUMXMY2('Tabela Entrada-Saída'!$B$11:$O$11,'Coordenadas dos Polos'!$BT$2:$CG$2)))^2)</f>
        <v>5.2169018046233597E-6</v>
      </c>
      <c r="G11">
        <f>EXP(((-1)/(2*'Cálculos Diversos'!$B$5))*(SQRT(SUMXMY2('Tabela Entrada-Saída'!$B$11:$O$11,'Coordenadas dos Polos'!$CH$2:$CU$2)))^2)</f>
        <v>1.2035495405042373E-4</v>
      </c>
      <c r="H11">
        <f>EXP(((-1)/(2*'Cálculos Diversos'!$B$5))*(SQRT(SUMXMY2('Tabela Entrada-Saída'!$B$11:$O$11,'Coordenadas dos Polos'!$CV$2:$DI$2)))^2)</f>
        <v>6.0077102595391722E-6</v>
      </c>
      <c r="I11">
        <f>EXP(((-1)/(2*'Cálculos Diversos'!$B$5))*(SQRT(SUMXMY2('Tabela Entrada-Saída'!$B$11:$O$11,'Coordenadas dos Polos'!$DJ$2:$DW$2)))^2)</f>
        <v>2.0007240345746484E-4</v>
      </c>
      <c r="J11">
        <f>EXP(((-1)/(2*'Cálculos Diversos'!$B$5))*(SQRT(SUMXMY2('Tabela Entrada-Saída'!$B$11:$O$11,'Coordenadas dos Polos'!$DX$2:$EK$2)))^2)</f>
        <v>1.0712495124400814E-4</v>
      </c>
      <c r="K11">
        <f>EXP(((-1)/(2*'Cálculos Diversos'!$B$5))*(SQRT(SUMXMY2('Tabela Entrada-Saída'!$B$11:$O$11,'Coordenadas dos Polos'!$EL$2:$EY$2)))^2)</f>
        <v>3.8371509519952967E-6</v>
      </c>
      <c r="L11">
        <f>EXP(((-1)/(2*'Cálculos Diversos'!$B$5))*(SQRT(SUMXMY2('Tabela Entrada-Saída'!$B$11:$O$11,'Coordenadas dos Polos'!$EZ$2:$FM$2)))^2)</f>
        <v>1.1393614238062786E-6</v>
      </c>
      <c r="M11">
        <f>EXP(((-1)/(2*'Cálculos Diversos'!$B$5))*(SQRT(SUMXMY2('Tabela Entrada-Saída'!$B$11:$O$11,'Coordenadas dos Polos'!$FN$2:$GA$2)))^2)</f>
        <v>2.1613975570918667E-5</v>
      </c>
      <c r="N11">
        <f>EXP(((-1)/(2*'Cálculos Diversos'!$B$5))*(SQRT(SUMXMY2('Tabela Entrada-Saída'!$B$11:$O$11,'Coordenadas dos Polos'!$GB$2:$GO$2)))^2)</f>
        <v>5.1234428701164802E-5</v>
      </c>
      <c r="O11">
        <f>EXP(((-1)/(2*'Cálculos Diversos'!$B$5))*(SQRT(SUMXMY2('Tabela Entrada-Saída'!$B$11:$O$11,'Coordenadas dos Polos'!$GP$2:$HC$2)))^2)</f>
        <v>3.8504554663438664E-6</v>
      </c>
      <c r="P11">
        <v>1</v>
      </c>
    </row>
    <row r="12" spans="1:16" x14ac:dyDescent="0.3">
      <c r="A12">
        <v>11</v>
      </c>
      <c r="B12">
        <f>EXP(((-1)/(2*'Cálculos Diversos'!$B$5))*(SQRT(SUMXMY2('Tabela Entrada-Saída'!$B$12:$O$12,'Coordenadas dos Polos'!$P$2:$AC$2)))^2)</f>
        <v>9.0974473186535773E-2</v>
      </c>
      <c r="C12">
        <f>EXP(((-1)/(2*'Cálculos Diversos'!$B$5))*(SQRT(SUMXMY2('Tabela Entrada-Saída'!$B$12:$O$12,'Coordenadas dos Polos'!$AD$2:$AQ$2)))^2)</f>
        <v>7.5505102772624534E-5</v>
      </c>
      <c r="D12">
        <f>EXP(((-1)/(2*'Cálculos Diversos'!$B$5))*(SQRT(SUMXMY2('Tabela Entrada-Saída'!$B$12:$O$12,'Coordenadas dos Polos'!$AR$2:$BE$2)))^2)</f>
        <v>2.7290824151419959E-5</v>
      </c>
      <c r="E12">
        <f>EXP(((-1)/(2*'Cálculos Diversos'!$B$5))*(SQRT(SUMXMY2('Tabela Entrada-Saída'!$B$12:$O$12,'Coordenadas dos Polos'!$BF$2:$BS$2)))^2)</f>
        <v>9.9144517810826564E-5</v>
      </c>
      <c r="F12">
        <f>EXP(((-1)/(2*'Cálculos Diversos'!$B$5))*(SQRT(SUMXMY2('Tabela Entrada-Saída'!$B$12:$O$12,'Coordenadas dos Polos'!$BT$2:$CG$2)))^2)</f>
        <v>2.5087395182684635E-6</v>
      </c>
      <c r="G12">
        <f>EXP(((-1)/(2*'Cálculos Diversos'!$B$5))*(SQRT(SUMXMY2('Tabela Entrada-Saída'!$B$12:$O$12,'Coordenadas dos Polos'!$CH$2:$CU$2)))^2)</f>
        <v>1.2657473933011307E-4</v>
      </c>
      <c r="H12">
        <f>EXP(((-1)/(2*'Cálculos Diversos'!$B$5))*(SQRT(SUMXMY2('Tabela Entrada-Saída'!$B$12:$O$12,'Coordenadas dos Polos'!$CV$2:$DI$2)))^2)</f>
        <v>5.9360547604171527E-6</v>
      </c>
      <c r="I12">
        <f>EXP(((-1)/(2*'Cálculos Diversos'!$B$5))*(SQRT(SUMXMY2('Tabela Entrada-Saída'!$B$12:$O$12,'Coordenadas dos Polos'!$DJ$2:$DW$2)))^2)</f>
        <v>2.6967006619783694E-4</v>
      </c>
      <c r="J12">
        <f>EXP(((-1)/(2*'Cálculos Diversos'!$B$5))*(SQRT(SUMXMY2('Tabela Entrada-Saída'!$B$12:$O$12,'Coordenadas dos Polos'!$DX$2:$EK$2)))^2)</f>
        <v>1.0126172342814487E-4</v>
      </c>
      <c r="K12">
        <f>EXP(((-1)/(2*'Cálculos Diversos'!$B$5))*(SQRT(SUMXMY2('Tabela Entrada-Saída'!$B$12:$O$12,'Coordenadas dos Polos'!$EL$2:$EY$2)))^2)</f>
        <v>4.2947798438023848E-6</v>
      </c>
      <c r="L12">
        <f>EXP(((-1)/(2*'Cálculos Diversos'!$B$5))*(SQRT(SUMXMY2('Tabela Entrada-Saída'!$B$12:$O$12,'Coordenadas dos Polos'!$EZ$2:$FM$2)))^2)</f>
        <v>6.1548476616395972E-7</v>
      </c>
      <c r="M12">
        <f>EXP(((-1)/(2*'Cálculos Diversos'!$B$5))*(SQRT(SUMXMY2('Tabela Entrada-Saída'!$B$12:$O$12,'Coordenadas dos Polos'!$FN$2:$GA$2)))^2)</f>
        <v>1.2392847893610154E-5</v>
      </c>
      <c r="N12">
        <f>EXP(((-1)/(2*'Cálculos Diversos'!$B$5))*(SQRT(SUMXMY2('Tabela Entrada-Saída'!$B$12:$O$12,'Coordenadas dos Polos'!$GB$2:$GO$2)))^2)</f>
        <v>3.065178189415887E-5</v>
      </c>
      <c r="O12">
        <f>EXP(((-1)/(2*'Cálculos Diversos'!$B$5))*(SQRT(SUMXMY2('Tabela Entrada-Saída'!$B$12:$O$12,'Coordenadas dos Polos'!$GP$2:$HC$2)))^2)</f>
        <v>2.5405044389410929E-6</v>
      </c>
      <c r="P12">
        <v>1</v>
      </c>
    </row>
    <row r="13" spans="1:16" x14ac:dyDescent="0.3">
      <c r="A13">
        <v>12</v>
      </c>
      <c r="B13">
        <f>EXP(((-1)/(2*'Cálculos Diversos'!$B$5))*(SQRT(SUMXMY2('Tabela Entrada-Saída'!$B$13:$O$13,'Coordenadas dos Polos'!$P$2:$AC$2)))^2)</f>
        <v>0.17688585227577797</v>
      </c>
      <c r="C13">
        <f>EXP(((-1)/(2*'Cálculos Diversos'!$B$5))*(SQRT(SUMXMY2('Tabela Entrada-Saída'!$B$13:$O$13,'Coordenadas dos Polos'!$AD$2:$AQ$2)))^2)</f>
        <v>8.9635822816290435E-5</v>
      </c>
      <c r="D13">
        <f>EXP(((-1)/(2*'Cálculos Diversos'!$B$5))*(SQRT(SUMXMY2('Tabela Entrada-Saída'!$B$13:$O$13,'Coordenadas dos Polos'!$AR$2:$BE$2)))^2)</f>
        <v>2.5085996570796956E-5</v>
      </c>
      <c r="E13">
        <f>EXP(((-1)/(2*'Cálculos Diversos'!$B$5))*(SQRT(SUMXMY2('Tabela Entrada-Saída'!$B$13:$O$13,'Coordenadas dos Polos'!$BF$2:$BS$2)))^2)</f>
        <v>1.5689846747030266E-4</v>
      </c>
      <c r="F13">
        <f>EXP(((-1)/(2*'Cálculos Diversos'!$B$5))*(SQRT(SUMXMY2('Tabela Entrada-Saída'!$B$13:$O$13,'Coordenadas dos Polos'!$BT$2:$CG$2)))^2)</f>
        <v>4.5944687312255826E-6</v>
      </c>
      <c r="G13">
        <f>EXP(((-1)/(2*'Cálculos Diversos'!$B$5))*(SQRT(SUMXMY2('Tabela Entrada-Saída'!$B$13:$O$13,'Coordenadas dos Polos'!$CH$2:$CU$2)))^2)</f>
        <v>1.2390643163273814E-4</v>
      </c>
      <c r="H13">
        <f>EXP(((-1)/(2*'Cálculos Diversos'!$B$5))*(SQRT(SUMXMY2('Tabela Entrada-Saída'!$B$13:$O$13,'Coordenadas dos Polos'!$CV$2:$DI$2)))^2)</f>
        <v>6.1122266130756328E-6</v>
      </c>
      <c r="I13">
        <f>EXP(((-1)/(2*'Cálculos Diversos'!$B$5))*(SQRT(SUMXMY2('Tabela Entrada-Saída'!$B$13:$O$13,'Coordenadas dos Polos'!$DJ$2:$DW$2)))^2)</f>
        <v>2.1643351370374825E-4</v>
      </c>
      <c r="J13">
        <f>EXP(((-1)/(2*'Cálculos Diversos'!$B$5))*(SQRT(SUMXMY2('Tabela Entrada-Saída'!$B$13:$O$13,'Coordenadas dos Polos'!$DX$2:$EK$2)))^2)</f>
        <v>1.0791242649400411E-4</v>
      </c>
      <c r="K13">
        <f>EXP(((-1)/(2*'Cálculos Diversos'!$B$5))*(SQRT(SUMXMY2('Tabela Entrada-Saída'!$B$13:$O$13,'Coordenadas dos Polos'!$EL$2:$EY$2)))^2)</f>
        <v>4.0024625589201727E-6</v>
      </c>
      <c r="L13">
        <f>EXP(((-1)/(2*'Cálculos Diversos'!$B$5))*(SQRT(SUMXMY2('Tabela Entrada-Saída'!$B$13:$O$13,'Coordenadas dos Polos'!$EZ$2:$FM$2)))^2)</f>
        <v>1.0271027981554562E-6</v>
      </c>
      <c r="M13">
        <f>EXP(((-1)/(2*'Cálculos Diversos'!$B$5))*(SQRT(SUMXMY2('Tabela Entrada-Saída'!$B$13:$O$13,'Coordenadas dos Polos'!$FN$2:$GA$2)))^2)</f>
        <v>1.9724671728000286E-5</v>
      </c>
      <c r="N13">
        <f>EXP(((-1)/(2*'Cálculos Diversos'!$B$5))*(SQRT(SUMXMY2('Tabela Entrada-Saída'!$B$13:$O$13,'Coordenadas dos Polos'!$GB$2:$GO$2)))^2)</f>
        <v>4.7177676486137621E-5</v>
      </c>
      <c r="O13">
        <f>EXP(((-1)/(2*'Cálculos Diversos'!$B$5))*(SQRT(SUMXMY2('Tabela Entrada-Saída'!$B$13:$O$13,'Coordenadas dos Polos'!$GP$2:$HC$2)))^2)</f>
        <v>3.6134050662197648E-6</v>
      </c>
      <c r="P13">
        <v>1</v>
      </c>
    </row>
    <row r="14" spans="1:16" x14ac:dyDescent="0.3">
      <c r="A14">
        <v>13</v>
      </c>
      <c r="B14">
        <f>EXP(((-1)/(2*'Cálculos Diversos'!$B$5))*(SQRT(SUMXMY2('Tabela Entrada-Saída'!$B$14:$O$14,'Coordenadas dos Polos'!$P$2:$AC$2)))^2)</f>
        <v>8.9800706361588462E-2</v>
      </c>
      <c r="C14">
        <f>EXP(((-1)/(2*'Cálculos Diversos'!$B$5))*(SQRT(SUMXMY2('Tabela Entrada-Saída'!$B$14:$O$14,'Coordenadas dos Polos'!$AD$2:$AQ$2)))^2)</f>
        <v>7.5047095505372452E-5</v>
      </c>
      <c r="D14">
        <f>EXP(((-1)/(2*'Cálculos Diversos'!$B$5))*(SQRT(SUMXMY2('Tabela Entrada-Saída'!$B$14:$O$14,'Coordenadas dos Polos'!$AR$2:$BE$2)))^2)</f>
        <v>2.7254870487848951E-5</v>
      </c>
      <c r="E14">
        <f>EXP(((-1)/(2*'Cálculos Diversos'!$B$5))*(SQRT(SUMXMY2('Tabela Entrada-Saída'!$B$14:$O$14,'Coordenadas dos Polos'!$BF$2:$BS$2)))^2)</f>
        <v>9.8102969475226162E-5</v>
      </c>
      <c r="F14">
        <f>EXP(((-1)/(2*'Cálculos Diversos'!$B$5))*(SQRT(SUMXMY2('Tabela Entrada-Saída'!$B$14:$O$14,'Coordenadas dos Polos'!$BT$2:$CG$2)))^2)</f>
        <v>2.4771554092125876E-6</v>
      </c>
      <c r="G14">
        <f>EXP(((-1)/(2*'Cálculos Diversos'!$B$5))*(SQRT(SUMXMY2('Tabela Entrada-Saída'!$B$14:$O$14,'Coordenadas dos Polos'!$CH$2:$CU$2)))^2)</f>
        <v>1.2630443885004532E-4</v>
      </c>
      <c r="H14">
        <f>EXP(((-1)/(2*'Cálculos Diversos'!$B$5))*(SQRT(SUMXMY2('Tabela Entrada-Saída'!$B$14:$O$14,'Coordenadas dos Polos'!$CV$2:$DI$2)))^2)</f>
        <v>5.9141284357006053E-6</v>
      </c>
      <c r="I14">
        <f>EXP(((-1)/(2*'Cálculos Diversos'!$B$5))*(SQRT(SUMXMY2('Tabela Entrada-Saída'!$B$14:$O$14,'Coordenadas dos Polos'!$DJ$2:$DW$2)))^2)</f>
        <v>2.6994704648424612E-4</v>
      </c>
      <c r="J14">
        <f>EXP(((-1)/(2*'Cálculos Diversos'!$B$5))*(SQRT(SUMXMY2('Tabela Entrada-Saída'!$B$14:$O$14,'Coordenadas dos Polos'!$DX$2:$EK$2)))^2)</f>
        <v>1.0093068384666695E-4</v>
      </c>
      <c r="K14">
        <f>EXP(((-1)/(2*'Cálculos Diversos'!$B$5))*(SQRT(SUMXMY2('Tabela Entrada-Saída'!$B$14:$O$14,'Coordenadas dos Polos'!$EL$2:$EY$2)))^2)</f>
        <v>4.287001806633976E-6</v>
      </c>
      <c r="L14">
        <f>EXP(((-1)/(2*'Cálculos Diversos'!$B$5))*(SQRT(SUMXMY2('Tabela Entrada-Saída'!$B$14:$O$14,'Coordenadas dos Polos'!$EZ$2:$FM$2)))^2)</f>
        <v>6.0852896258557251E-7</v>
      </c>
      <c r="M14">
        <f>EXP(((-1)/(2*'Cálculos Diversos'!$B$5))*(SQRT(SUMXMY2('Tabela Entrada-Saída'!$B$14:$O$14,'Coordenadas dos Polos'!$FN$2:$GA$2)))^2)</f>
        <v>1.2257468479707264E-5</v>
      </c>
      <c r="N14">
        <f>EXP(((-1)/(2*'Cálculos Diversos'!$B$5))*(SQRT(SUMXMY2('Tabela Entrada-Saída'!$B$14:$O$14,'Coordenadas dos Polos'!$GB$2:$GO$2)))^2)</f>
        <v>3.0344008045932362E-5</v>
      </c>
      <c r="O14">
        <f>EXP(((-1)/(2*'Cálculos Diversos'!$B$5))*(SQRT(SUMXMY2('Tabela Entrada-Saída'!$B$14:$O$14,'Coordenadas dos Polos'!$GP$2:$HC$2)))^2)</f>
        <v>2.5193353181471624E-6</v>
      </c>
      <c r="P14">
        <v>1</v>
      </c>
    </row>
    <row r="15" spans="1:16" x14ac:dyDescent="0.3">
      <c r="A15">
        <v>14</v>
      </c>
      <c r="B15">
        <f>EXP(((-1)/(2*'Cálculos Diversos'!$B$5))*(SQRT(SUMXMY2('Tabela Entrada-Saída'!$B$15:$O$15,'Coordenadas dos Polos'!$P$2:$AC$2)))^2)</f>
        <v>6.7527447932093726E-2</v>
      </c>
      <c r="C15">
        <f>EXP(((-1)/(2*'Cálculos Diversos'!$B$5))*(SQRT(SUMXMY2('Tabela Entrada-Saída'!$B$15:$O$15,'Coordenadas dos Polos'!$AD$2:$AQ$2)))^2)</f>
        <v>6.7653831690625072E-5</v>
      </c>
      <c r="D15">
        <f>EXP(((-1)/(2*'Cálculos Diversos'!$B$5))*(SQRT(SUMXMY2('Tabela Entrada-Saída'!$B$15:$O$15,'Coordenadas dos Polos'!$AR$2:$BE$2)))^2)</f>
        <v>2.6952991992709373E-5</v>
      </c>
      <c r="E15">
        <f>EXP(((-1)/(2*'Cálculos Diversos'!$B$5))*(SQRT(SUMXMY2('Tabela Entrada-Saída'!$B$15:$O$15,'Coordenadas dos Polos'!$BF$2:$BS$2)))^2)</f>
        <v>7.9560500142776861E-5</v>
      </c>
      <c r="F15">
        <f>EXP(((-1)/(2*'Cálculos Diversos'!$B$5))*(SQRT(SUMXMY2('Tabela Entrada-Saída'!$B$15:$O$15,'Coordenadas dos Polos'!$BT$2:$CG$2)))^2)</f>
        <v>1.9068388103119606E-6</v>
      </c>
      <c r="G15">
        <f>EXP(((-1)/(2*'Cálculos Diversos'!$B$5))*(SQRT(SUMXMY2('Tabela Entrada-Saída'!$B$15:$O$15,'Coordenadas dos Polos'!$CH$2:$CU$2)))^2)</f>
        <v>1.2234484627446756E-4</v>
      </c>
      <c r="H15">
        <f>EXP(((-1)/(2*'Cálculos Diversos'!$B$5))*(SQRT(SUMXMY2('Tabela Entrada-Saída'!$B$15:$O$15,'Coordenadas dos Polos'!$CV$2:$DI$2)))^2)</f>
        <v>5.6166753795365468E-6</v>
      </c>
      <c r="I15">
        <f>EXP(((-1)/(2*'Cálculos Diversos'!$B$5))*(SQRT(SUMXMY2('Tabela Entrada-Saída'!$B$15:$O$15,'Coordenadas dos Polos'!$DJ$2:$DW$2)))^2)</f>
        <v>2.805526571432942E-4</v>
      </c>
      <c r="J15">
        <f>EXP(((-1)/(2*'Cálculos Diversos'!$B$5))*(SQRT(SUMXMY2('Tabela Entrada-Saída'!$B$15:$O$15,'Coordenadas dos Polos'!$DX$2:$EK$2)))^2)</f>
        <v>9.4847316854544591E-5</v>
      </c>
      <c r="K15">
        <f>EXP(((-1)/(2*'Cálculos Diversos'!$B$5))*(SQRT(SUMXMY2('Tabela Entrada-Saída'!$B$15:$O$15,'Coordenadas dos Polos'!$EL$2:$EY$2)))^2)</f>
        <v>4.2196722750286483E-6</v>
      </c>
      <c r="L15">
        <f>EXP(((-1)/(2*'Cálculos Diversos'!$B$5))*(SQRT(SUMXMY2('Tabela Entrada-Saída'!$B$15:$O$15,'Coordenadas dos Polos'!$EZ$2:$FM$2)))^2)</f>
        <v>4.8439821147308076E-7</v>
      </c>
      <c r="M15">
        <f>EXP(((-1)/(2*'Cálculos Diversos'!$B$5))*(SQRT(SUMXMY2('Tabela Entrada-Saída'!$B$15:$O$15,'Coordenadas dos Polos'!$FN$2:$GA$2)))^2)</f>
        <v>9.9205996711187884E-6</v>
      </c>
      <c r="N15">
        <f>EXP(((-1)/(2*'Cálculos Diversos'!$B$5))*(SQRT(SUMXMY2('Tabela Entrada-Saída'!$B$15:$O$15,'Coordenadas dos Polos'!$GB$2:$GO$2)))^2)</f>
        <v>2.4881455302763652E-5</v>
      </c>
      <c r="O15">
        <f>EXP(((-1)/(2*'Cálculos Diversos'!$B$5))*(SQRT(SUMXMY2('Tabela Entrada-Saída'!$B$15:$O$15,'Coordenadas dos Polos'!$GP$2:$HC$2)))^2)</f>
        <v>2.1263470585057952E-6</v>
      </c>
      <c r="P15">
        <v>1</v>
      </c>
    </row>
    <row r="16" spans="1:16" x14ac:dyDescent="0.3">
      <c r="A16">
        <v>15</v>
      </c>
      <c r="B16">
        <f>EXP(((-1)/(2*'Cálculos Diversos'!$B$5))*(SQRT(SUMXMY2('Tabela Entrada-Saída'!$B$16:$O$16,'Coordenadas dos Polos'!$P$2:$AC$2)))^2)</f>
        <v>7.0931213765913534E-2</v>
      </c>
      <c r="C16">
        <f>EXP(((-1)/(2*'Cálculos Diversos'!$B$5))*(SQRT(SUMXMY2('Tabela Entrada-Saída'!$B$16:$O$16,'Coordenadas dos Polos'!$AD$2:$AQ$2)))^2)</f>
        <v>6.9181114342512184E-5</v>
      </c>
      <c r="D16">
        <f>EXP(((-1)/(2*'Cálculos Diversos'!$B$5))*(SQRT(SUMXMY2('Tabela Entrada-Saída'!$B$16:$O$16,'Coordenadas dos Polos'!$AR$2:$BE$2)))^2)</f>
        <v>2.7123498001967512E-5</v>
      </c>
      <c r="E16">
        <f>EXP(((-1)/(2*'Cálculos Diversos'!$B$5))*(SQRT(SUMXMY2('Tabela Entrada-Saída'!$B$16:$O$16,'Coordenadas dos Polos'!$BF$2:$BS$2)))^2)</f>
        <v>8.2575761324374882E-5</v>
      </c>
      <c r="F16">
        <f>EXP(((-1)/(2*'Cálculos Diversos'!$B$5))*(SQRT(SUMXMY2('Tabela Entrada-Saída'!$B$16:$O$16,'Coordenadas dos Polos'!$BT$2:$CG$2)))^2)</f>
        <v>1.9953696600931529E-6</v>
      </c>
      <c r="G16">
        <f>EXP(((-1)/(2*'Cálculos Diversos'!$B$5))*(SQRT(SUMXMY2('Tabela Entrada-Saída'!$B$16:$O$16,'Coordenadas dos Polos'!$CH$2:$CU$2)))^2)</f>
        <v>1.2324889262322993E-4</v>
      </c>
      <c r="H16">
        <f>EXP(((-1)/(2*'Cálculos Diversos'!$B$5))*(SQRT(SUMXMY2('Tabela Entrada-Saída'!$B$16:$O$16,'Coordenadas dos Polos'!$CV$2:$DI$2)))^2)</f>
        <v>5.7122109229531015E-6</v>
      </c>
      <c r="I16">
        <f>EXP(((-1)/(2*'Cálculos Diversos'!$B$5))*(SQRT(SUMXMY2('Tabela Entrada-Saída'!$B$16:$O$16,'Coordenadas dos Polos'!$DJ$2:$DW$2)))^2)</f>
        <v>2.793056057438413E-4</v>
      </c>
      <c r="J16">
        <f>EXP(((-1)/(2*'Cálculos Diversos'!$B$5))*(SQRT(SUMXMY2('Tabela Entrada-Saída'!$B$16:$O$16,'Coordenadas dos Polos'!$DX$2:$EK$2)))^2)</f>
        <v>9.6207144181258819E-5</v>
      </c>
      <c r="K16">
        <f>EXP(((-1)/(2*'Cálculos Diversos'!$B$5))*(SQRT(SUMXMY2('Tabela Entrada-Saída'!$B$16:$O$16,'Coordenadas dos Polos'!$EL$2:$EY$2)))^2)</f>
        <v>4.2530792540331744E-6</v>
      </c>
      <c r="L16">
        <f>EXP(((-1)/(2*'Cálculos Diversos'!$B$5))*(SQRT(SUMXMY2('Tabela Entrada-Saída'!$B$16:$O$16,'Coordenadas dos Polos'!$EZ$2:$FM$2)))^2)</f>
        <v>5.0486884975360934E-7</v>
      </c>
      <c r="M16">
        <f>EXP(((-1)/(2*'Cálculos Diversos'!$B$5))*(SQRT(SUMXMY2('Tabela Entrada-Saída'!$B$16:$O$16,'Coordenadas dos Polos'!$FN$2:$GA$2)))^2)</f>
        <v>1.0312370775600388E-5</v>
      </c>
      <c r="N16">
        <f>EXP(((-1)/(2*'Cálculos Diversos'!$B$5))*(SQRT(SUMXMY2('Tabela Entrada-Saída'!$B$16:$O$16,'Coordenadas dos Polos'!$GB$2:$GO$2)))^2)</f>
        <v>2.5905190379215763E-5</v>
      </c>
      <c r="O16">
        <f>EXP(((-1)/(2*'Cálculos Diversos'!$B$5))*(SQRT(SUMXMY2('Tabela Entrada-Saída'!$B$16:$O$16,'Coordenadas dos Polos'!$GP$2:$HC$2)))^2)</f>
        <v>2.1902366321287178E-6</v>
      </c>
      <c r="P16">
        <v>1</v>
      </c>
    </row>
    <row r="17" spans="1:16" x14ac:dyDescent="0.3">
      <c r="A17">
        <v>16</v>
      </c>
      <c r="B17">
        <f>EXP(((-1)/(2*'Cálculos Diversos'!$B$5))*(SQRT(SUMXMY2('Tabela Entrada-Saída'!$B$17:$O$17,'Coordenadas dos Polos'!$P$2:$AC$2)))^2)</f>
        <v>0.12797531555943908</v>
      </c>
      <c r="C17">
        <f>EXP(((-1)/(2*'Cálculos Diversos'!$B$5))*(SQRT(SUMXMY2('Tabela Entrada-Saída'!$B$17:$O$17,'Coordenadas dos Polos'!$AD$2:$AQ$2)))^2)</f>
        <v>8.3858687137216981E-5</v>
      </c>
      <c r="D17">
        <f>EXP(((-1)/(2*'Cálculos Diversos'!$B$5))*(SQRT(SUMXMY2('Tabela Entrada-Saída'!$B$17:$O$17,'Coordenadas dos Polos'!$AR$2:$BE$2)))^2)</f>
        <v>2.6782278978837256E-5</v>
      </c>
      <c r="E17">
        <f>EXP(((-1)/(2*'Cálculos Diversos'!$B$5))*(SQRT(SUMXMY2('Tabela Entrada-Saída'!$B$17:$O$17,'Coordenadas dos Polos'!$BF$2:$BS$2)))^2)</f>
        <v>1.2637531520800162E-4</v>
      </c>
      <c r="F17">
        <f>EXP(((-1)/(2*'Cálculos Diversos'!$B$5))*(SQRT(SUMXMY2('Tabela Entrada-Saída'!$B$17:$O$17,'Coordenadas dos Polos'!$BT$2:$CG$2)))^2)</f>
        <v>3.4333863083002951E-6</v>
      </c>
      <c r="G17">
        <f>EXP(((-1)/(2*'Cálculos Diversos'!$B$5))*(SQRT(SUMXMY2('Tabela Entrada-Saída'!$B$17:$O$17,'Coordenadas dos Polos'!$CH$2:$CU$2)))^2)</f>
        <v>1.2793358158713693E-4</v>
      </c>
      <c r="H17">
        <f>EXP(((-1)/(2*'Cálculos Diversos'!$B$5))*(SQRT(SUMXMY2('Tabela Entrada-Saída'!$B$17:$O$17,'Coordenadas dos Polos'!$CV$2:$DI$2)))^2)</f>
        <v>6.1621705738216634E-6</v>
      </c>
      <c r="I17">
        <f>EXP(((-1)/(2*'Cálculos Diversos'!$B$5))*(SQRT(SUMXMY2('Tabela Entrada-Saída'!$B$17:$O$17,'Coordenadas dos Polos'!$DJ$2:$DW$2)))^2)</f>
        <v>2.4762676153389034E-4</v>
      </c>
      <c r="J17">
        <f>EXP(((-1)/(2*'Cálculos Diversos'!$B$5))*(SQRT(SUMXMY2('Tabela Entrada-Saída'!$B$17:$O$17,'Coordenadas dos Polos'!$DX$2:$EK$2)))^2)</f>
        <v>1.0677248204033094E-4</v>
      </c>
      <c r="K17">
        <f>EXP(((-1)/(2*'Cálculos Diversos'!$B$5))*(SQRT(SUMXMY2('Tabela Entrada-Saída'!$B$17:$O$17,'Coordenadas dos Polos'!$EL$2:$EY$2)))^2)</f>
        <v>4.2422914790229115E-6</v>
      </c>
      <c r="L17">
        <f>EXP(((-1)/(2*'Cálculos Diversos'!$B$5))*(SQRT(SUMXMY2('Tabela Entrada-Saída'!$B$17:$O$17,'Coordenadas dos Polos'!$EZ$2:$FM$2)))^2)</f>
        <v>8.0577522880952697E-7</v>
      </c>
      <c r="M17">
        <f>EXP(((-1)/(2*'Cálculos Diversos'!$B$5))*(SQRT(SUMXMY2('Tabela Entrada-Saída'!$B$17:$O$17,'Coordenadas dos Polos'!$FN$2:$GA$2)))^2)</f>
        <v>1.585087608398955E-5</v>
      </c>
      <c r="N17">
        <f>EXP(((-1)/(2*'Cálculos Diversos'!$B$5))*(SQRT(SUMXMY2('Tabela Entrada-Saída'!$B$17:$O$17,'Coordenadas dos Polos'!$GB$2:$GO$2)))^2)</f>
        <v>3.8619939341395287E-5</v>
      </c>
      <c r="O17">
        <f>EXP(((-1)/(2*'Cálculos Diversos'!$B$5))*(SQRT(SUMXMY2('Tabela Entrada-Saída'!$B$17:$O$17,'Coordenadas dos Polos'!$GP$2:$HC$2)))^2)</f>
        <v>3.0745310163141097E-6</v>
      </c>
      <c r="P17">
        <v>1</v>
      </c>
    </row>
    <row r="18" spans="1:16" x14ac:dyDescent="0.3">
      <c r="A18">
        <v>17</v>
      </c>
      <c r="B18">
        <f>EXP(((-1)/(2*'Cálculos Diversos'!$B$5))*(SQRT(SUMXMY2('Tabela Entrada-Saída'!$B$18:$O$18,'Coordenadas dos Polos'!$P$2:$AC$2)))^2)</f>
        <v>6.360827286076369E-2</v>
      </c>
      <c r="C18">
        <f>EXP(((-1)/(2*'Cálculos Diversos'!$B$5))*(SQRT(SUMXMY2('Tabela Entrada-Saída'!$B$18:$O$18,'Coordenadas dos Polos'!$AD$2:$AQ$2)))^2)</f>
        <v>6.6179548092350861E-5</v>
      </c>
      <c r="D18">
        <f>EXP(((-1)/(2*'Cálculos Diversos'!$B$5))*(SQRT(SUMXMY2('Tabela Entrada-Saída'!$B$18:$O$18,'Coordenadas dos Polos'!$AR$2:$BE$2)))^2)</f>
        <v>2.6877364028469044E-5</v>
      </c>
      <c r="E18">
        <f>EXP(((-1)/(2*'Cálculos Diversos'!$B$5))*(SQRT(SUMXMY2('Tabela Entrada-Saída'!$B$18:$O$18,'Coordenadas dos Polos'!$BF$2:$BS$2)))^2)</f>
        <v>7.6111582849324973E-5</v>
      </c>
      <c r="F18">
        <f>EXP(((-1)/(2*'Cálculos Diversos'!$B$5))*(SQRT(SUMXMY2('Tabela Entrada-Saída'!$B$18:$O$18,'Coordenadas dos Polos'!$BT$2:$CG$2)))^2)</f>
        <v>1.8029696019512816E-6</v>
      </c>
      <c r="G18">
        <f>EXP(((-1)/(2*'Cálculos Diversos'!$B$5))*(SQRT(SUMXMY2('Tabela Entrada-Saída'!$B$18:$O$18,'Coordenadas dos Polos'!$CH$2:$CU$2)))^2)</f>
        <v>1.21158121246723E-4</v>
      </c>
      <c r="H18">
        <f>EXP(((-1)/(2*'Cálculos Diversos'!$B$5))*(SQRT(SUMXMY2('Tabela Entrada-Saída'!$B$18:$O$18,'Coordenadas dos Polos'!$CV$2:$DI$2)))^2)</f>
        <v>5.5607041318252166E-6</v>
      </c>
      <c r="I18">
        <f>EXP(((-1)/(2*'Cálculos Diversos'!$B$5))*(SQRT(SUMXMY2('Tabela Entrada-Saída'!$B$18:$O$18,'Coordenadas dos Polos'!$DJ$2:$DW$2)))^2)</f>
        <v>2.8228006294397299E-4</v>
      </c>
      <c r="J18">
        <f>EXP(((-1)/(2*'Cálculos Diversos'!$B$5))*(SQRT(SUMXMY2('Tabela Entrada-Saída'!$B$18:$O$18,'Coordenadas dos Polos'!$DX$2:$EK$2)))^2)</f>
        <v>9.3370866342322746E-5</v>
      </c>
      <c r="K18">
        <f>EXP(((-1)/(2*'Cálculos Diversos'!$B$5))*(SQRT(SUMXMY2('Tabela Entrada-Saída'!$B$18:$O$18,'Coordenadas dos Polos'!$EL$2:$EY$2)))^2)</f>
        <v>4.2042772492652065E-6</v>
      </c>
      <c r="L18">
        <f>EXP(((-1)/(2*'Cálculos Diversos'!$B$5))*(SQRT(SUMXMY2('Tabela Entrada-Saída'!$B$18:$O$18,'Coordenadas dos Polos'!$EZ$2:$FM$2)))^2)</f>
        <v>4.6162398828896856E-7</v>
      </c>
      <c r="M18">
        <f>EXP(((-1)/(2*'Cálculos Diversos'!$B$5))*(SQRT(SUMXMY2('Tabela Entrada-Saída'!$B$18:$O$18,'Coordenadas dos Polos'!$FN$2:$GA$2)))^2)</f>
        <v>9.4915265749286138E-6</v>
      </c>
      <c r="N18">
        <f>EXP(((-1)/(2*'Cálculos Diversos'!$B$5))*(SQRT(SUMXMY2('Tabela Entrada-Saída'!$B$18:$O$18,'Coordenadas dos Polos'!$GB$2:$GO$2)))^2)</f>
        <v>2.3895646983489187E-5</v>
      </c>
      <c r="O18">
        <f>EXP(((-1)/(2*'Cálculos Diversos'!$B$5))*(SQRT(SUMXMY2('Tabela Entrada-Saída'!$B$18:$O$18,'Coordenadas dos Polos'!$GP$2:$HC$2)))^2)</f>
        <v>2.0485263496186412E-6</v>
      </c>
      <c r="P18">
        <v>1</v>
      </c>
    </row>
    <row r="19" spans="1:16" x14ac:dyDescent="0.3">
      <c r="A19">
        <v>18</v>
      </c>
      <c r="B19">
        <f>EXP(((-1)/(2*'Cálculos Diversos'!$B$5))*(SQRT(SUMXMY2('Tabela Entrada-Saída'!$B$19:$O$19,'Coordenadas dos Polos'!$P$2:$AC$2)))^2)</f>
        <v>0.10867287320739734</v>
      </c>
      <c r="C19">
        <f>EXP(((-1)/(2*'Cálculos Diversos'!$B$5))*(SQRT(SUMXMY2('Tabela Entrada-Saída'!$B$19:$O$19,'Coordenadas dos Polos'!$AD$2:$AQ$2)))^2)</f>
        <v>7.9807533520295505E-5</v>
      </c>
      <c r="D19">
        <f>EXP(((-1)/(2*'Cálculos Diversos'!$B$5))*(SQRT(SUMXMY2('Tabela Entrada-Saída'!$B$19:$O$19,'Coordenadas dos Polos'!$AR$2:$BE$2)))^2)</f>
        <v>2.7079916449042267E-5</v>
      </c>
      <c r="E19">
        <f>EXP(((-1)/(2*'Cálculos Diversos'!$B$5))*(SQRT(SUMXMY2('Tabela Entrada-Saída'!$B$19:$O$19,'Coordenadas dos Polos'!$BF$2:$BS$2)))^2)</f>
        <v>1.1255361607845056E-4</v>
      </c>
      <c r="F19">
        <f>EXP(((-1)/(2*'Cálculos Diversos'!$B$5))*(SQRT(SUMXMY2('Tabela Entrada-Saída'!$B$19:$O$19,'Coordenadas dos Polos'!$BT$2:$CG$2)))^2)</f>
        <v>2.9548496920097052E-6</v>
      </c>
      <c r="G19">
        <f>EXP(((-1)/(2*'Cálculos Diversos'!$B$5))*(SQRT(SUMXMY2('Tabela Entrada-Saída'!$B$19:$O$19,'Coordenadas dos Polos'!$CH$2:$CU$2)))^2)</f>
        <v>1.2784610094275877E-4</v>
      </c>
      <c r="H19">
        <f>EXP(((-1)/(2*'Cálculos Diversos'!$B$5))*(SQRT(SUMXMY2('Tabela Entrada-Saída'!$B$19:$O$19,'Coordenadas dos Polos'!$CV$2:$DI$2)))^2)</f>
        <v>6.0508471432326979E-6</v>
      </c>
      <c r="I19">
        <f>EXP(((-1)/(2*'Cálculos Diversos'!$B$5))*(SQRT(SUMXMY2('Tabela Entrada-Saída'!$B$19:$O$19,'Coordenadas dos Polos'!$DJ$2:$DW$2)))^2)</f>
        <v>2.5906791722786368E-4</v>
      </c>
      <c r="J19">
        <f>EXP(((-1)/(2*'Cálculos Diversos'!$B$5))*(SQRT(SUMXMY2('Tabela Entrada-Saída'!$B$19:$O$19,'Coordenadas dos Polos'!$DX$2:$EK$2)))^2)</f>
        <v>1.0441971633801536E-4</v>
      </c>
      <c r="K19">
        <f>EXP(((-1)/(2*'Cálculos Diversos'!$B$5))*(SQRT(SUMXMY2('Tabela Entrada-Saída'!$B$19:$O$19,'Coordenadas dos Polos'!$EL$2:$EY$2)))^2)</f>
        <v>4.2754461401608082E-6</v>
      </c>
      <c r="L19">
        <f>EXP(((-1)/(2*'Cálculos Diversos'!$B$5))*(SQRT(SUMXMY2('Tabela Entrada-Saída'!$B$19:$O$19,'Coordenadas dos Polos'!$EZ$2:$FM$2)))^2)</f>
        <v>7.0788462843121522E-7</v>
      </c>
      <c r="M19">
        <f>EXP(((-1)/(2*'Cálculos Diversos'!$B$5))*(SQRT(SUMXMY2('Tabela Entrada-Saída'!$B$19:$O$19,'Coordenadas dos Polos'!$FN$2:$GA$2)))^2)</f>
        <v>1.4082031070918162E-5</v>
      </c>
      <c r="N19">
        <f>EXP(((-1)/(2*'Cálculos Diversos'!$B$5))*(SQRT(SUMXMY2('Tabela Entrada-Saída'!$B$19:$O$19,'Coordenadas dos Polos'!$GB$2:$GO$2)))^2)</f>
        <v>3.4507980625068845E-5</v>
      </c>
      <c r="O19">
        <f>EXP(((-1)/(2*'Cálculos Diversos'!$B$5))*(SQRT(SUMXMY2('Tabela Entrada-Saída'!$B$19:$O$19,'Coordenadas dos Polos'!$GP$2:$HC$2)))^2)</f>
        <v>2.8119570957446091E-6</v>
      </c>
      <c r="P19">
        <v>1</v>
      </c>
    </row>
    <row r="20" spans="1:16" x14ac:dyDescent="0.3">
      <c r="A20">
        <v>19</v>
      </c>
      <c r="B20">
        <f>EXP(((-1)/(2*'Cálculos Diversos'!$B$5))*(SQRT(SUMXMY2('Tabela Entrada-Saída'!$B$20:$O$20,'Coordenadas dos Polos'!$P$2:$AC$2)))^2)</f>
        <v>0.11451770706492451</v>
      </c>
      <c r="C20">
        <f>EXP(((-1)/(2*'Cálculos Diversos'!$B$5))*(SQRT(SUMXMY2('Tabela Entrada-Saída'!$B$20:$O$20,'Coordenadas dos Polos'!$AD$2:$AQ$2)))^2)</f>
        <v>8.102057515098102E-5</v>
      </c>
      <c r="D20">
        <f>EXP(((-1)/(2*'Cálculos Diversos'!$B$5))*(SQRT(SUMXMY2('Tabela Entrada-Saída'!$B$20:$O$20,'Coordenadas dos Polos'!$AR$2:$BE$2)))^2)</f>
        <v>2.6997312822700885E-5</v>
      </c>
      <c r="E20">
        <f>EXP(((-1)/(2*'Cálculos Diversos'!$B$5))*(SQRT(SUMXMY2('Tabela Entrada-Saída'!$B$20:$O$20,'Coordenadas dos Polos'!$BF$2:$BS$2)))^2)</f>
        <v>1.1675426404802769E-4</v>
      </c>
      <c r="F20">
        <f>EXP(((-1)/(2*'Cálculos Diversos'!$B$5))*(SQRT(SUMXMY2('Tabela Entrada-Saída'!$B$20:$O$20,'Coordenadas dos Polos'!$BT$2:$CG$2)))^2)</f>
        <v>3.097571086708943E-6</v>
      </c>
      <c r="G20">
        <f>EXP(((-1)/(2*'Cálculos Diversos'!$B$5))*(SQRT(SUMXMY2('Tabela Entrada-Saída'!$B$20:$O$20,'Coordenadas dos Polos'!$CH$2:$CU$2)))^2)</f>
        <v>1.278214339285659E-4</v>
      </c>
      <c r="H20">
        <f>EXP(((-1)/(2*'Cálculos Diversos'!$B$5))*(SQRT(SUMXMY2('Tabela Entrada-Saída'!$B$20:$O$20,'Coordenadas dos Polos'!$CV$2:$DI$2)))^2)</f>
        <v>6.0811271606037214E-6</v>
      </c>
      <c r="I20">
        <f>EXP(((-1)/(2*'Cálculos Diversos'!$B$5))*(SQRT(SUMXMY2('Tabela Entrada-Saída'!$B$20:$O$20,'Coordenadas dos Polos'!$DJ$2:$DW$2)))^2)</f>
        <v>2.5560788922103999E-4</v>
      </c>
      <c r="J20">
        <f>EXP(((-1)/(2*'Cálculos Diversos'!$B$5))*(SQRT(SUMXMY2('Tabela Entrada-Saída'!$B$20:$O$20,'Coordenadas dos Polos'!$DX$2:$EK$2)))^2)</f>
        <v>1.0505764449600493E-4</v>
      </c>
      <c r="K20">
        <f>EXP(((-1)/(2*'Cálculos Diversos'!$B$5))*(SQRT(SUMXMY2('Tabela Entrada-Saída'!$B$20:$O$20,'Coordenadas dos Polos'!$EL$2:$EY$2)))^2)</f>
        <v>4.2646030419531892E-6</v>
      </c>
      <c r="L20">
        <f>EXP(((-1)/(2*'Cálculos Diversos'!$B$5))*(SQRT(SUMXMY2('Tabela Entrada-Saída'!$B$20:$O$20,'Coordenadas dos Polos'!$EZ$2:$FM$2)))^2)</f>
        <v>7.3718282522450075E-7</v>
      </c>
      <c r="M20">
        <f>EXP(((-1)/(2*'Cálculos Diversos'!$B$5))*(SQRT(SUMXMY2('Tabela Entrada-Saída'!$B$20:$O$20,'Coordenadas dos Polos'!$FN$2:$GA$2)))^2)</f>
        <v>1.4615066245104291E-5</v>
      </c>
      <c r="N20">
        <f>EXP(((-1)/(2*'Cálculos Diversos'!$B$5))*(SQRT(SUMXMY2('Tabela Entrada-Saída'!$B$20:$O$20,'Coordenadas dos Polos'!$GB$2:$GO$2)))^2)</f>
        <v>3.5729169917957413E-5</v>
      </c>
      <c r="O20">
        <f>EXP(((-1)/(2*'Cálculos Diversos'!$B$5))*(SQRT(SUMXMY2('Tabela Entrada-Saída'!$B$20:$O$20,'Coordenadas dos Polos'!$GP$2:$HC$2)))^2)</f>
        <v>2.892250862324498E-6</v>
      </c>
      <c r="P20">
        <v>1</v>
      </c>
    </row>
    <row r="21" spans="1:16" x14ac:dyDescent="0.3">
      <c r="A21">
        <v>20</v>
      </c>
      <c r="B21">
        <f>EXP(((-1)/(2*'Cálculos Diversos'!$B$5))*(SQRT(SUMXMY2('Tabela Entrada-Saída'!$B$21:$O$21,'Coordenadas dos Polos'!$P$2:$AC$2)))^2)</f>
        <v>0.10843130775273951</v>
      </c>
      <c r="C21">
        <f>EXP(((-1)/(2*'Cálculos Diversos'!$B$5))*(SQRT(SUMXMY2('Tabela Entrada-Saída'!$B$21:$O$21,'Coordenadas dos Polos'!$AD$2:$AQ$2)))^2)</f>
        <v>7.9962515116661326E-5</v>
      </c>
      <c r="D21">
        <f>EXP(((-1)/(2*'Cálculos Diversos'!$B$5))*(SQRT(SUMXMY2('Tabela Entrada-Saída'!$B$21:$O$21,'Coordenadas dos Polos'!$AR$2:$BE$2)))^2)</f>
        <v>2.7145159795643455E-5</v>
      </c>
      <c r="E21">
        <f>EXP(((-1)/(2*'Cálculos Diversos'!$B$5))*(SQRT(SUMXMY2('Tabela Entrada-Saída'!$B$21:$O$21,'Coordenadas dos Polos'!$BF$2:$BS$2)))^2)</f>
        <v>1.1243338423165699E-4</v>
      </c>
      <c r="F21">
        <f>EXP(((-1)/(2*'Cálculos Diversos'!$B$5))*(SQRT(SUMXMY2('Tabela Entrada-Saída'!$B$21:$O$21,'Coordenadas dos Polos'!$BT$2:$CG$2)))^2)</f>
        <v>2.947804734919824E-6</v>
      </c>
      <c r="G21">
        <f>EXP(((-1)/(2*'Cálculos Diversos'!$B$5))*(SQRT(SUMXMY2('Tabela Entrada-Saída'!$B$21:$O$21,'Coordenadas dos Polos'!$CH$2:$CU$2)))^2)</f>
        <v>1.2787552535569786E-4</v>
      </c>
      <c r="H21">
        <f>EXP(((-1)/(2*'Cálculos Diversos'!$B$5))*(SQRT(SUMXMY2('Tabela Entrada-Saída'!$B$21:$O$21,'Coordenadas dos Polos'!$CV$2:$DI$2)))^2)</f>
        <v>6.0804639501734219E-6</v>
      </c>
      <c r="I21">
        <f>EXP(((-1)/(2*'Cálculos Diversos'!$B$5))*(SQRT(SUMXMY2('Tabela Entrada-Saída'!$B$21:$O$21,'Coordenadas dos Polos'!$DJ$2:$DW$2)))^2)</f>
        <v>2.5933882962854741E-4</v>
      </c>
      <c r="J21">
        <f>EXP(((-1)/(2*'Cálculos Diversos'!$B$5))*(SQRT(SUMXMY2('Tabela Entrada-Saída'!$B$21:$O$21,'Coordenadas dos Polos'!$DX$2:$EK$2)))^2)</f>
        <v>1.0449555900158757E-4</v>
      </c>
      <c r="K21">
        <f>EXP(((-1)/(2*'Cálculos Diversos'!$B$5))*(SQRT(SUMXMY2('Tabela Entrada-Saída'!$B$21:$O$21,'Coordenadas dos Polos'!$EL$2:$EY$2)))^2)</f>
        <v>4.2888996283758324E-6</v>
      </c>
      <c r="L21">
        <f>EXP(((-1)/(2*'Cálculos Diversos'!$B$5))*(SQRT(SUMXMY2('Tabela Entrada-Saída'!$B$21:$O$21,'Coordenadas dos Polos'!$EZ$2:$FM$2)))^2)</f>
        <v>7.0734890602400485E-7</v>
      </c>
      <c r="M21">
        <f>EXP(((-1)/(2*'Cálculos Diversos'!$B$5))*(SQRT(SUMXMY2('Tabela Entrada-Saída'!$B$21:$O$21,'Coordenadas dos Polos'!$FN$2:$GA$2)))^2)</f>
        <v>1.4078572532512512E-5</v>
      </c>
      <c r="N21">
        <f>EXP(((-1)/(2*'Cálculos Diversos'!$B$5))*(SQRT(SUMXMY2('Tabela Entrada-Saída'!$B$21:$O$21,'Coordenadas dos Polos'!$GB$2:$GO$2)))^2)</f>
        <v>3.4602188411981246E-5</v>
      </c>
      <c r="O21">
        <f>EXP(((-1)/(2*'Cálculos Diversos'!$B$5))*(SQRT(SUMXMY2('Tabela Entrada-Saída'!$B$21:$O$21,'Coordenadas dos Polos'!$GP$2:$HC$2)))^2)</f>
        <v>2.8077253603453009E-6</v>
      </c>
      <c r="P21">
        <v>1</v>
      </c>
    </row>
    <row r="22" spans="1:16" x14ac:dyDescent="0.3">
      <c r="A22">
        <v>21</v>
      </c>
      <c r="B22">
        <f>EXP(((-1)/(2*'Cálculos Diversos'!$B$5))*(SQRT(SUMXMY2('Tabela Entrada-Saída'!$B$22:$O$22,'Coordenadas dos Polos'!$P$2:$AC$2)))^2)</f>
        <v>0.13248793268207554</v>
      </c>
      <c r="C22">
        <f>EXP(((-1)/(2*'Cálculos Diversos'!$B$5))*(SQRT(SUMXMY2('Tabela Entrada-Saída'!$B$22:$O$22,'Coordenadas dos Polos'!$AD$2:$AQ$2)))^2)</f>
        <v>8.4583450183824978E-5</v>
      </c>
      <c r="D22">
        <f>EXP(((-1)/(2*'Cálculos Diversos'!$B$5))*(SQRT(SUMXMY2('Tabela Entrada-Saída'!$B$22:$O$22,'Coordenadas dos Polos'!$AR$2:$BE$2)))^2)</f>
        <v>2.6652404114204666E-5</v>
      </c>
      <c r="E22">
        <f>EXP(((-1)/(2*'Cálculos Diversos'!$B$5))*(SQRT(SUMXMY2('Tabela Entrada-Saída'!$B$22:$O$22,'Coordenadas dos Polos'!$BF$2:$BS$2)))^2)</f>
        <v>1.2945268304305374E-4</v>
      </c>
      <c r="F22">
        <f>EXP(((-1)/(2*'Cálculos Diversos'!$B$5))*(SQRT(SUMXMY2('Tabela Entrada-Saída'!$B$22:$O$22,'Coordenadas dos Polos'!$BT$2:$CG$2)))^2)</f>
        <v>3.5435367121250075E-6</v>
      </c>
      <c r="G22">
        <f>EXP(((-1)/(2*'Cálculos Diversos'!$B$5))*(SQRT(SUMXMY2('Tabela Entrada-Saída'!$B$22:$O$22,'Coordenadas dos Polos'!$CH$2:$CU$2)))^2)</f>
        <v>1.2781629618480216E-4</v>
      </c>
      <c r="H22">
        <f>EXP(((-1)/(2*'Cálculos Diversos'!$B$5))*(SQRT(SUMXMY2('Tabela Entrada-Saída'!$B$22:$O$22,'Coordenadas dos Polos'!$CV$2:$DI$2)))^2)</f>
        <v>6.1652881276838562E-6</v>
      </c>
      <c r="I22">
        <f>EXP(((-1)/(2*'Cálculos Diversos'!$B$5))*(SQRT(SUMXMY2('Tabela Entrada-Saída'!$B$22:$O$22,'Coordenadas dos Polos'!$DJ$2:$DW$2)))^2)</f>
        <v>2.4481087213579054E-4</v>
      </c>
      <c r="J22">
        <f>EXP(((-1)/(2*'Cálculos Diversos'!$B$5))*(SQRT(SUMXMY2('Tabela Entrada-Saída'!$B$22:$O$22,'Coordenadas dos Polos'!$DX$2:$EK$2)))^2)</f>
        <v>1.0708119964160089E-4</v>
      </c>
      <c r="K22">
        <f>EXP(((-1)/(2*'Cálculos Diversos'!$B$5))*(SQRT(SUMXMY2('Tabela Entrada-Saída'!$B$22:$O$22,'Coordenadas dos Polos'!$EL$2:$EY$2)))^2)</f>
        <v>4.2250846872996189E-6</v>
      </c>
      <c r="L22">
        <f>EXP(((-1)/(2*'Cálculos Diversos'!$B$5))*(SQRT(SUMXMY2('Tabela Entrada-Saída'!$B$22:$O$22,'Coordenadas dos Polos'!$EZ$2:$FM$2)))^2)</f>
        <v>8.2740312625401038E-7</v>
      </c>
      <c r="M22">
        <f>EXP(((-1)/(2*'Cálculos Diversos'!$B$5))*(SQRT(SUMXMY2('Tabela Entrada-Saída'!$B$22:$O$22,'Coordenadas dos Polos'!$FN$2:$GA$2)))^2)</f>
        <v>1.6238234291673765E-5</v>
      </c>
      <c r="N22">
        <f>EXP(((-1)/(2*'Cálculos Diversos'!$B$5))*(SQRT(SUMXMY2('Tabela Entrada-Saída'!$B$22:$O$22,'Coordenadas dos Polos'!$GB$2:$GO$2)))^2)</f>
        <v>3.946504547384179E-5</v>
      </c>
      <c r="O22">
        <f>EXP(((-1)/(2*'Cálculos Diversos'!$B$5))*(SQRT(SUMXMY2('Tabela Entrada-Saída'!$B$22:$O$22,'Coordenadas dos Polos'!$GP$2:$HC$2)))^2)</f>
        <v>3.1324435182332406E-6</v>
      </c>
      <c r="P22">
        <v>1</v>
      </c>
    </row>
    <row r="23" spans="1:16" x14ac:dyDescent="0.3">
      <c r="A23">
        <v>22</v>
      </c>
      <c r="B23">
        <f>EXP(((-1)/(2*'Cálculos Diversos'!$B$5))*(SQRT(SUMXMY2('Tabela Entrada-Saída'!$B$23:$O$23,'Coordenadas dos Polos'!$P$2:$AC$2)))^2)</f>
        <v>6.6571149199858626E-2</v>
      </c>
      <c r="C23">
        <f>EXP(((-1)/(2*'Cálculos Diversos'!$B$5))*(SQRT(SUMXMY2('Tabela Entrada-Saída'!$B$23:$O$23,'Coordenadas dos Polos'!$AD$2:$AQ$2)))^2)</f>
        <v>6.7433553377177228E-5</v>
      </c>
      <c r="D23">
        <f>EXP(((-1)/(2*'Cálculos Diversos'!$B$5))*(SQRT(SUMXMY2('Tabela Entrada-Saída'!$B$23:$O$23,'Coordenadas dos Polos'!$AR$2:$BE$2)))^2)</f>
        <v>2.6979054173167627E-5</v>
      </c>
      <c r="E23">
        <f>EXP(((-1)/(2*'Cálculos Diversos'!$B$5))*(SQRT(SUMXMY2('Tabela Entrada-Saída'!$B$23:$O$23,'Coordenadas dos Polos'!$BF$2:$BS$2)))^2)</f>
        <v>7.8761887509862274E-5</v>
      </c>
      <c r="F23">
        <f>EXP(((-1)/(2*'Cálculos Diversos'!$B$5))*(SQRT(SUMXMY2('Tabela Entrada-Saída'!$B$23:$O$23,'Coordenadas dos Polos'!$BT$2:$CG$2)))^2)</f>
        <v>1.8815088234415744E-6</v>
      </c>
      <c r="G23">
        <f>EXP(((-1)/(2*'Cálculos Diversos'!$B$5))*(SQRT(SUMXMY2('Tabela Entrada-Saída'!$B$23:$O$23,'Coordenadas dos Polos'!$CH$2:$CU$2)))^2)</f>
        <v>1.2211709737202408E-4</v>
      </c>
      <c r="H23">
        <f>EXP(((-1)/(2*'Cálculos Diversos'!$B$5))*(SQRT(SUMXMY2('Tabela Entrada-Saída'!$B$23:$O$23,'Coordenadas dos Polos'!$CV$2:$DI$2)))^2)</f>
        <v>5.6235806396125416E-6</v>
      </c>
      <c r="I23">
        <f>EXP(((-1)/(2*'Cálculos Diversos'!$B$5))*(SQRT(SUMXMY2('Tabela Entrada-Saída'!$B$23:$O$23,'Coordenadas dos Polos'!$DJ$2:$DW$2)))^2)</f>
        <v>2.8108217061661664E-4</v>
      </c>
      <c r="J23">
        <f>EXP(((-1)/(2*'Cálculos Diversos'!$B$5))*(SQRT(SUMXMY2('Tabela Entrada-Saída'!$B$23:$O$23,'Coordenadas dos Polos'!$DX$2:$EK$2)))^2)</f>
        <v>9.4608907824774338E-5</v>
      </c>
      <c r="K23">
        <f>EXP(((-1)/(2*'Cálculos Diversos'!$B$5))*(SQRT(SUMXMY2('Tabela Entrada-Saída'!$B$23:$O$23,'Coordenadas dos Polos'!$EL$2:$EY$2)))^2)</f>
        <v>4.225241577473395E-6</v>
      </c>
      <c r="L23">
        <f>EXP(((-1)/(2*'Cálculos Diversos'!$B$5))*(SQRT(SUMXMY2('Tabela Entrada-Saída'!$B$23:$O$23,'Coordenadas dos Polos'!$EZ$2:$FM$2)))^2)</f>
        <v>4.7928823128389197E-7</v>
      </c>
      <c r="M23">
        <f>EXP(((-1)/(2*'Cálculos Diversos'!$B$5))*(SQRT(SUMXMY2('Tabela Entrada-Saída'!$B$23:$O$23,'Coordenadas dos Polos'!$FN$2:$GA$2)))^2)</f>
        <v>9.8272033747882466E-6</v>
      </c>
      <c r="N23">
        <f>EXP(((-1)/(2*'Cálculos Diversos'!$B$5))*(SQRT(SUMXMY2('Tabela Entrada-Saída'!$B$23:$O$23,'Coordenadas dos Polos'!$GB$2:$GO$2)))^2)</f>
        <v>2.4715551032201472E-5</v>
      </c>
      <c r="O23">
        <f>EXP(((-1)/(2*'Cálculos Diversos'!$B$5))*(SQRT(SUMXMY2('Tabela Entrada-Saída'!$B$23:$O$23,'Coordenadas dos Polos'!$GP$2:$HC$2)))^2)</f>
        <v>2.1075156759132666E-6</v>
      </c>
      <c r="P23">
        <v>1</v>
      </c>
    </row>
    <row r="24" spans="1:16" x14ac:dyDescent="0.3">
      <c r="A24">
        <v>23</v>
      </c>
      <c r="B24">
        <f>EXP(((-1)/(2*'Cálculos Diversos'!$B$5))*(SQRT(SUMXMY2('Tabela Entrada-Saída'!$B$24:$O$24,'Coordenadas dos Polos'!$P$2:$AC$2)))^2)</f>
        <v>0.14232560019783808</v>
      </c>
      <c r="C24">
        <f>EXP(((-1)/(2*'Cálculos Diversos'!$B$5))*(SQRT(SUMXMY2('Tabela Entrada-Saída'!$B$24:$O$24,'Coordenadas dos Polos'!$AD$2:$AQ$2)))^2)</f>
        <v>8.5811430669609833E-5</v>
      </c>
      <c r="D24">
        <f>EXP(((-1)/(2*'Cálculos Diversos'!$B$5))*(SQRT(SUMXMY2('Tabela Entrada-Saída'!$B$24:$O$24,'Coordenadas dos Polos'!$AR$2:$BE$2)))^2)</f>
        <v>2.6297511071450824E-5</v>
      </c>
      <c r="E24">
        <f>EXP(((-1)/(2*'Cálculos Diversos'!$B$5))*(SQRT(SUMXMY2('Tabela Entrada-Saída'!$B$24:$O$24,'Coordenadas dos Polos'!$BF$2:$BS$2)))^2)</f>
        <v>1.3578489339437596E-4</v>
      </c>
      <c r="F24">
        <f>EXP(((-1)/(2*'Cálculos Diversos'!$B$5))*(SQRT(SUMXMY2('Tabela Entrada-Saída'!$B$24:$O$24,'Coordenadas dos Polos'!$BT$2:$CG$2)))^2)</f>
        <v>3.7746262494315468E-6</v>
      </c>
      <c r="G24">
        <f>EXP(((-1)/(2*'Cálculos Diversos'!$B$5))*(SQRT(SUMXMY2('Tabela Entrada-Saída'!$B$24:$O$24,'Coordenadas dos Polos'!$CH$2:$CU$2)))^2)</f>
        <v>1.2712787430238363E-4</v>
      </c>
      <c r="H24">
        <f>EXP(((-1)/(2*'Cálculos Diversos'!$B$5))*(SQRT(SUMXMY2('Tabela Entrada-Saída'!$B$24:$O$24,'Coordenadas dos Polos'!$CV$2:$DI$2)))^2)</f>
        <v>6.145844299616875E-6</v>
      </c>
      <c r="I24">
        <f>EXP(((-1)/(2*'Cálculos Diversos'!$B$5))*(SQRT(SUMXMY2('Tabela Entrada-Saída'!$B$24:$O$24,'Coordenadas dos Polos'!$DJ$2:$DW$2)))^2)</f>
        <v>2.3832749997507505E-4</v>
      </c>
      <c r="J24">
        <f>EXP(((-1)/(2*'Cálculos Diversos'!$B$5))*(SQRT(SUMXMY2('Tabela Entrada-Saída'!$B$24:$O$24,'Coordenadas dos Polos'!$DX$2:$EK$2)))^2)</f>
        <v>1.0730947859463766E-4</v>
      </c>
      <c r="K24">
        <f>EXP(((-1)/(2*'Cálculos Diversos'!$B$5))*(SQRT(SUMXMY2('Tabela Entrada-Saída'!$B$24:$O$24,'Coordenadas dos Polos'!$EL$2:$EY$2)))^2)</f>
        <v>4.1748568963581094E-6</v>
      </c>
      <c r="L24">
        <f>EXP(((-1)/(2*'Cálculos Diversos'!$B$5))*(SQRT(SUMXMY2('Tabela Entrada-Saída'!$B$24:$O$24,'Coordenadas dos Polos'!$EZ$2:$FM$2)))^2)</f>
        <v>8.7157525196909596E-7</v>
      </c>
      <c r="M24">
        <f>EXP(((-1)/(2*'Cálculos Diversos'!$B$5))*(SQRT(SUMXMY2('Tabela Entrada-Saída'!$B$24:$O$24,'Coordenadas dos Polos'!$FN$2:$GA$2)))^2)</f>
        <v>1.7028875425023112E-5</v>
      </c>
      <c r="N24">
        <f>EXP(((-1)/(2*'Cálculos Diversos'!$B$5))*(SQRT(SUMXMY2('Tabela Entrada-Saída'!$B$24:$O$24,'Coordenadas dos Polos'!$GB$2:$GO$2)))^2)</f>
        <v>4.114367390266106E-5</v>
      </c>
      <c r="O24">
        <f>EXP(((-1)/(2*'Cálculos Diversos'!$B$5))*(SQRT(SUMXMY2('Tabela Entrada-Saída'!$B$24:$O$24,'Coordenadas dos Polos'!$GP$2:$HC$2)))^2)</f>
        <v>3.2481977027370606E-6</v>
      </c>
      <c r="P24">
        <v>1</v>
      </c>
    </row>
    <row r="25" spans="1:16" x14ac:dyDescent="0.3">
      <c r="A25">
        <v>24</v>
      </c>
      <c r="B25">
        <f>EXP(((-1)/(2*'Cálculos Diversos'!$B$5))*(SQRT(SUMXMY2('Tabela Entrada-Saída'!$B$25:$O$25,'Coordenadas dos Polos'!$P$2:$AC$2)))^2)</f>
        <v>0.13410265379892494</v>
      </c>
      <c r="C25">
        <f>EXP(((-1)/(2*'Cálculos Diversos'!$B$5))*(SQRT(SUMXMY2('Tabela Entrada-Saída'!$B$25:$O$25,'Coordenadas dos Polos'!$AD$2:$AQ$2)))^2)</f>
        <v>8.4646630493964914E-5</v>
      </c>
      <c r="D25">
        <f>EXP(((-1)/(2*'Cálculos Diversos'!$B$5))*(SQRT(SUMXMY2('Tabela Entrada-Saída'!$B$25:$O$25,'Coordenadas dos Polos'!$AR$2:$BE$2)))^2)</f>
        <v>2.6560875523130201E-5</v>
      </c>
      <c r="E25">
        <f>EXP(((-1)/(2*'Cálculos Diversos'!$B$5))*(SQRT(SUMXMY2('Tabela Entrada-Saída'!$B$25:$O$25,'Coordenadas dos Polos'!$BF$2:$BS$2)))^2)</f>
        <v>1.3044307584458045E-4</v>
      </c>
      <c r="F25">
        <f>EXP(((-1)/(2*'Cálculos Diversos'!$B$5))*(SQRT(SUMXMY2('Tabela Entrada-Saída'!$B$25:$O$25,'Coordenadas dos Polos'!$BT$2:$CG$2)))^2)</f>
        <v>3.5812610726888459E-6</v>
      </c>
      <c r="G25">
        <f>EXP(((-1)/(2*'Cálculos Diversos'!$B$5))*(SQRT(SUMXMY2('Tabela Entrada-Saída'!$B$25:$O$25,'Coordenadas dos Polos'!$CH$2:$CU$2)))^2)</f>
        <v>1.2764060102162927E-4</v>
      </c>
      <c r="H25">
        <f>EXP(((-1)/(2*'Cálculos Diversos'!$B$5))*(SQRT(SUMXMY2('Tabela Entrada-Saída'!$B$25:$O$25,'Coordenadas dos Polos'!$CV$2:$DI$2)))^2)</f>
        <v>6.1432546544486439E-6</v>
      </c>
      <c r="I25">
        <f>EXP(((-1)/(2*'Cálculos Diversos'!$B$5))*(SQRT(SUMXMY2('Tabela Entrada-Saída'!$B$25:$O$25,'Coordenadas dos Polos'!$DJ$2:$DW$2)))^2)</f>
        <v>2.4367740829323199E-4</v>
      </c>
      <c r="J25">
        <f>EXP(((-1)/(2*'Cálculos Diversos'!$B$5))*(SQRT(SUMXMY2('Tabela Entrada-Saída'!$B$25:$O$25,'Coordenadas dos Polos'!$DX$2:$EK$2)))^2)</f>
        <v>1.0701475614088004E-4</v>
      </c>
      <c r="K25">
        <f>EXP(((-1)/(2*'Cálculos Diversos'!$B$5))*(SQRT(SUMXMY2('Tabela Entrada-Saída'!$B$25:$O$25,'Coordenadas dos Polos'!$EL$2:$EY$2)))^2)</f>
        <v>4.2090677193284535E-6</v>
      </c>
      <c r="L25">
        <f>EXP(((-1)/(2*'Cálculos Diversos'!$B$5))*(SQRT(SUMXMY2('Tabela Entrada-Saída'!$B$25:$O$25,'Coordenadas dos Polos'!$EZ$2:$FM$2)))^2)</f>
        <v>8.3401645465679247E-7</v>
      </c>
      <c r="M25">
        <f>EXP(((-1)/(2*'Cálculos Diversos'!$B$5))*(SQRT(SUMXMY2('Tabela Entrada-Saída'!$B$25:$O$25,'Coordenadas dos Polos'!$FN$2:$GA$2)))^2)</f>
        <v>1.6353733634886443E-5</v>
      </c>
      <c r="N25">
        <f>EXP(((-1)/(2*'Cálculos Diversos'!$B$5))*(SQRT(SUMXMY2('Tabela Entrada-Saída'!$B$25:$O$25,'Coordenadas dos Polos'!$GB$2:$GO$2)))^2)</f>
        <v>3.9638011874705486E-5</v>
      </c>
      <c r="O25">
        <f>EXP(((-1)/(2*'Cálculos Diversos'!$B$5))*(SQRT(SUMXMY2('Tabela Entrada-Saída'!$B$25:$O$25,'Coordenadas dos Polos'!$GP$2:$HC$2)))^2)</f>
        <v>3.151387993062353E-6</v>
      </c>
      <c r="P25">
        <v>1</v>
      </c>
    </row>
    <row r="26" spans="1:16" x14ac:dyDescent="0.3">
      <c r="A26">
        <v>25</v>
      </c>
      <c r="B26">
        <f>EXP(((-1)/(2*'Cálculos Diversos'!$B$5))*(SQRT(SUMXMY2('Tabela Entrada-Saída'!$B$26:$O$26,'Coordenadas dos Polos'!$P$2:$AC$2)))^2)</f>
        <v>7.4345315354254746E-2</v>
      </c>
      <c r="C26">
        <f>EXP(((-1)/(2*'Cálculos Diversos'!$B$5))*(SQRT(SUMXMY2('Tabela Entrada-Saída'!$B$26:$O$26,'Coordenadas dos Polos'!$AD$2:$AQ$2)))^2)</f>
        <v>7.0255888285742689E-5</v>
      </c>
      <c r="D26">
        <f>EXP(((-1)/(2*'Cálculos Diversos'!$B$5))*(SQRT(SUMXMY2('Tabela Entrada-Saída'!$B$26:$O$26,'Coordenadas dos Polos'!$AR$2:$BE$2)))^2)</f>
        <v>2.7151387281217713E-5</v>
      </c>
      <c r="E26">
        <f>EXP(((-1)/(2*'Cálculos Diversos'!$B$5))*(SQRT(SUMXMY2('Tabela Entrada-Saída'!$B$26:$O$26,'Coordenadas dos Polos'!$BF$2:$BS$2)))^2)</f>
        <v>8.5464417442545341E-5</v>
      </c>
      <c r="F26">
        <f>EXP(((-1)/(2*'Cálculos Diversos'!$B$5))*(SQRT(SUMXMY2('Tabela Entrada-Saída'!$B$26:$O$26,'Coordenadas dos Polos'!$BT$2:$CG$2)))^2)</f>
        <v>2.0834649568078026E-6</v>
      </c>
      <c r="G26">
        <f>EXP(((-1)/(2*'Cálculos Diversos'!$B$5))*(SQRT(SUMXMY2('Tabela Entrada-Saída'!$B$26:$O$26,'Coordenadas dos Polos'!$CH$2:$CU$2)))^2)</f>
        <v>1.2392943641501971E-4</v>
      </c>
      <c r="H26">
        <f>EXP(((-1)/(2*'Cálculos Diversos'!$B$5))*(SQRT(SUMXMY2('Tabela Entrada-Saída'!$B$26:$O$26,'Coordenadas dos Polos'!$CV$2:$DI$2)))^2)</f>
        <v>5.7404268759102363E-6</v>
      </c>
      <c r="I26">
        <f>EXP(((-1)/(2*'Cálculos Diversos'!$B$5))*(SQRT(SUMXMY2('Tabela Entrada-Saída'!$B$26:$O$26,'Coordenadas dos Polos'!$DJ$2:$DW$2)))^2)</f>
        <v>2.7779554963456389E-4</v>
      </c>
      <c r="J26">
        <f>EXP(((-1)/(2*'Cálculos Diversos'!$B$5))*(SQRT(SUMXMY2('Tabela Entrada-Saída'!$B$26:$O$26,'Coordenadas dos Polos'!$DX$2:$EK$2)))^2)</f>
        <v>9.7109519071481417E-5</v>
      </c>
      <c r="K26">
        <f>EXP(((-1)/(2*'Cálculos Diversos'!$B$5))*(SQRT(SUMXMY2('Tabela Entrada-Saída'!$B$26:$O$26,'Coordenadas dos Polos'!$EL$2:$EY$2)))^2)</f>
        <v>4.2575535714178667E-6</v>
      </c>
      <c r="L26">
        <f>EXP(((-1)/(2*'Cálculos Diversos'!$B$5))*(SQRT(SUMXMY2('Tabela Entrada-Saída'!$B$26:$O$26,'Coordenadas dos Polos'!$EZ$2:$FM$2)))^2)</f>
        <v>5.2377404495548878E-7</v>
      </c>
      <c r="M26">
        <f>EXP(((-1)/(2*'Cálculos Diversos'!$B$5))*(SQRT(SUMXMY2('Tabela Entrada-Saída'!$B$26:$O$26,'Coordenadas dos Polos'!$FN$2:$GA$2)))^2)</f>
        <v>1.0668961641967107E-5</v>
      </c>
      <c r="N26">
        <f>EXP(((-1)/(2*'Cálculos Diversos'!$B$5))*(SQRT(SUMXMY2('Tabela Entrada-Saída'!$B$26:$O$26,'Coordenadas dos Polos'!$GB$2:$GO$2)))^2)</f>
        <v>2.6675330716035057E-5</v>
      </c>
      <c r="O26">
        <f>EXP(((-1)/(2*'Cálculos Diversos'!$B$5))*(SQRT(SUMXMY2('Tabela Entrada-Saída'!$B$26:$O$26,'Coordenadas dos Polos'!$GP$2:$HC$2)))^2)</f>
        <v>2.2533022678774105E-6</v>
      </c>
      <c r="P26">
        <v>1</v>
      </c>
    </row>
    <row r="27" spans="1:16" x14ac:dyDescent="0.3">
      <c r="A27">
        <v>26</v>
      </c>
      <c r="B27">
        <f>EXP(((-1)/(2*'Cálculos Diversos'!$B$5))*(SQRT(SUMXMY2('Tabela Entrada-Saída'!$B$27:$O$27,'Coordenadas dos Polos'!$P$2:$AC$2)))^2)</f>
        <v>0.13414799266175773</v>
      </c>
      <c r="C27">
        <f>EXP(((-1)/(2*'Cálculos Diversos'!$B$5))*(SQRT(SUMXMY2('Tabela Entrada-Saída'!$B$27:$O$27,'Coordenadas dos Polos'!$AD$2:$AQ$2)))^2)</f>
        <v>8.4769223478798022E-5</v>
      </c>
      <c r="D27">
        <f>EXP(((-1)/(2*'Cálculos Diversos'!$B$5))*(SQRT(SUMXMY2('Tabela Entrada-Saída'!$B$27:$O$27,'Coordenadas dos Polos'!$AR$2:$BE$2)))^2)</f>
        <v>2.6585831769527779E-5</v>
      </c>
      <c r="E27">
        <f>EXP(((-1)/(2*'Cálculos Diversos'!$B$5))*(SQRT(SUMXMY2('Tabela Entrada-Saída'!$B$27:$O$27,'Coordenadas dos Polos'!$BF$2:$BS$2)))^2)</f>
        <v>1.3050941887963004E-4</v>
      </c>
      <c r="F27">
        <f>EXP(((-1)/(2*'Cálculos Diversos'!$B$5))*(SQRT(SUMXMY2('Tabela Entrada-Saída'!$B$27:$O$27,'Coordenadas dos Polos'!$BT$2:$CG$2)))^2)</f>
        <v>3.5842319630444251E-6</v>
      </c>
      <c r="G27">
        <f>EXP(((-1)/(2*'Cálculos Diversos'!$B$5))*(SQRT(SUMXMY2('Tabela Entrada-Saída'!$B$27:$O$27,'Coordenadas dos Polos'!$CH$2:$CU$2)))^2)</f>
        <v>1.2770583408946249E-4</v>
      </c>
      <c r="H27">
        <f>EXP(((-1)/(2*'Cálculos Diversos'!$B$5))*(SQRT(SUMXMY2('Tabela Entrada-Saída'!$B$27:$O$27,'Coordenadas dos Polos'!$CV$2:$DI$2)))^2)</f>
        <v>6.1593463535581705E-6</v>
      </c>
      <c r="I27">
        <f>EXP(((-1)/(2*'Cálculos Diversos'!$B$5))*(SQRT(SUMXMY2('Tabela Entrada-Saída'!$B$27:$O$27,'Coordenadas dos Polos'!$DJ$2:$DW$2)))^2)</f>
        <v>2.4364273351362142E-4</v>
      </c>
      <c r="J27">
        <f>EXP(((-1)/(2*'Cálculos Diversos'!$B$5))*(SQRT(SUMXMY2('Tabela Entrada-Saída'!$B$27:$O$27,'Coordenadas dos Polos'!$DX$2:$EK$2)))^2)</f>
        <v>1.0718905717396571E-4</v>
      </c>
      <c r="K27">
        <f>EXP(((-1)/(2*'Cálculos Diversos'!$B$5))*(SQRT(SUMXMY2('Tabela Entrada-Saída'!$B$27:$O$27,'Coordenadas dos Polos'!$EL$2:$EY$2)))^2)</f>
        <v>4.2141898059871004E-6</v>
      </c>
      <c r="L27">
        <f>EXP(((-1)/(2*'Cálculos Diversos'!$B$5))*(SQRT(SUMXMY2('Tabela Entrada-Saída'!$B$27:$O$27,'Coordenadas dos Polos'!$EZ$2:$FM$2)))^2)</f>
        <v>8.3510217214518632E-7</v>
      </c>
      <c r="M27">
        <f>EXP(((-1)/(2*'Cálculos Diversos'!$B$5))*(SQRT(SUMXMY2('Tabela Entrada-Saída'!$B$27:$O$27,'Coordenadas dos Polos'!$FN$2:$GA$2)))^2)</f>
        <v>1.6369510723241E-5</v>
      </c>
      <c r="N27">
        <f>EXP(((-1)/(2*'Cálculos Diversos'!$B$5))*(SQRT(SUMXMY2('Tabela Entrada-Saída'!$B$27:$O$27,'Coordenadas dos Polos'!$GB$2:$GO$2)))^2)</f>
        <v>3.9741054812815661E-5</v>
      </c>
      <c r="O27">
        <f>EXP(((-1)/(2*'Cálculos Diversos'!$B$5))*(SQRT(SUMXMY2('Tabela Entrada-Saída'!$B$27:$O$27,'Coordenadas dos Polos'!$GP$2:$HC$2)))^2)</f>
        <v>3.1524039008455094E-6</v>
      </c>
      <c r="P27">
        <v>1</v>
      </c>
    </row>
    <row r="28" spans="1:16" x14ac:dyDescent="0.3">
      <c r="A28">
        <v>27</v>
      </c>
      <c r="B28">
        <f>EXP(((-1)/(2*'Cálculos Diversos'!$B$5))*(SQRT(SUMXMY2('Tabela Entrada-Saída'!$B$28:$O$28,'Coordenadas dos Polos'!$P$2:$AC$2)))^2)</f>
        <v>9.4800471469806163E-2</v>
      </c>
      <c r="C28">
        <f>EXP(((-1)/(2*'Cálculos Diversos'!$B$5))*(SQRT(SUMXMY2('Tabela Entrada-Saída'!$B$28:$O$28,'Coordenadas dos Polos'!$AD$2:$AQ$2)))^2)</f>
        <v>7.6645257313988878E-5</v>
      </c>
      <c r="D28">
        <f>EXP(((-1)/(2*'Cálculos Diversos'!$B$5))*(SQRT(SUMXMY2('Tabela Entrada-Saída'!$B$28:$O$28,'Coordenadas dos Polos'!$AR$2:$BE$2)))^2)</f>
        <v>2.7297618426820319E-5</v>
      </c>
      <c r="E28">
        <f>EXP(((-1)/(2*'Cálculos Diversos'!$B$5))*(SQRT(SUMXMY2('Tabela Entrada-Saída'!$B$28:$O$28,'Coordenadas dos Polos'!$BF$2:$BS$2)))^2)</f>
        <v>1.0218171547364169E-4</v>
      </c>
      <c r="F28">
        <f>EXP(((-1)/(2*'Cálculos Diversos'!$B$5))*(SQRT(SUMXMY2('Tabela Entrada-Saída'!$B$28:$O$28,'Coordenadas dos Polos'!$BT$2:$CG$2)))^2)</f>
        <v>2.6101772091324292E-6</v>
      </c>
      <c r="G28">
        <f>EXP(((-1)/(2*'Cálculos Diversos'!$B$5))*(SQRT(SUMXMY2('Tabela Entrada-Saída'!$B$28:$O$28,'Coordenadas dos Polos'!$CH$2:$CU$2)))^2)</f>
        <v>1.2711171978814831E-4</v>
      </c>
      <c r="H28">
        <f>EXP(((-1)/(2*'Cálculos Diversos'!$B$5))*(SQRT(SUMXMY2('Tabela Entrada-Saída'!$B$28:$O$28,'Coordenadas dos Polos'!$CV$2:$DI$2)))^2)</f>
        <v>5.9834321821955912E-6</v>
      </c>
      <c r="I28">
        <f>EXP(((-1)/(2*'Cálculos Diversos'!$B$5))*(SQRT(SUMXMY2('Tabela Entrada-Saída'!$B$28:$O$28,'Coordenadas dos Polos'!$DJ$2:$DW$2)))^2)</f>
        <v>2.6749918305546524E-4</v>
      </c>
      <c r="J28">
        <f>EXP(((-1)/(2*'Cálculos Diversos'!$B$5))*(SQRT(SUMXMY2('Tabela Entrada-Saída'!$B$28:$O$28,'Coordenadas dos Polos'!$DX$2:$EK$2)))^2)</f>
        <v>1.0233424759380096E-4</v>
      </c>
      <c r="K28">
        <f>EXP(((-1)/(2*'Cálculos Diversos'!$B$5))*(SQRT(SUMXMY2('Tabela Entrada-Saída'!$B$28:$O$28,'Coordenadas dos Polos'!$EL$2:$EY$2)))^2)</f>
        <v>4.2986758144003262E-6</v>
      </c>
      <c r="L28">
        <f>EXP(((-1)/(2*'Cálculos Diversos'!$B$5))*(SQRT(SUMXMY2('Tabela Entrada-Saída'!$B$28:$O$28,'Coordenadas dos Polos'!$EZ$2:$FM$2)))^2)</f>
        <v>6.3712806832301672E-7</v>
      </c>
      <c r="M28">
        <f>EXP(((-1)/(2*'Cálculos Diversos'!$B$5))*(SQRT(SUMXMY2('Tabela Entrada-Saída'!$B$28:$O$28,'Coordenadas dos Polos'!$FN$2:$GA$2)))^2)</f>
        <v>1.2781839633941411E-5</v>
      </c>
      <c r="N28">
        <f>EXP(((-1)/(2*'Cálculos Diversos'!$B$5))*(SQRT(SUMXMY2('Tabela Entrada-Saída'!$B$28:$O$28,'Coordenadas dos Polos'!$GB$2:$GO$2)))^2)</f>
        <v>3.1599586301446358E-5</v>
      </c>
      <c r="O28">
        <f>EXP(((-1)/(2*'Cálculos Diversos'!$B$5))*(SQRT(SUMXMY2('Tabela Entrada-Saída'!$B$28:$O$28,'Coordenadas dos Polos'!$GP$2:$HC$2)))^2)</f>
        <v>2.6036018638607812E-6</v>
      </c>
      <c r="P28">
        <v>1</v>
      </c>
    </row>
    <row r="29" spans="1:16" x14ac:dyDescent="0.3">
      <c r="A29">
        <v>28</v>
      </c>
      <c r="B29">
        <f>EXP(((-1)/(2*'Cálculos Diversos'!$B$5))*(SQRT(SUMXMY2('Tabela Entrada-Saída'!$B$29:$O$29,'Coordenadas dos Polos'!$P$2:$AC$2)))^2)</f>
        <v>0.10360552793499951</v>
      </c>
      <c r="C29">
        <f>EXP(((-1)/(2*'Cálculos Diversos'!$B$5))*(SQRT(SUMXMY2('Tabela Entrada-Saída'!$B$29:$O$29,'Coordenadas dos Polos'!$AD$2:$AQ$2)))^2)</f>
        <v>7.8768109809707553E-5</v>
      </c>
      <c r="D29">
        <f>EXP(((-1)/(2*'Cálculos Diversos'!$B$5))*(SQRT(SUMXMY2('Tabela Entrada-Saída'!$B$29:$O$29,'Coordenadas dos Polos'!$AR$2:$BE$2)))^2)</f>
        <v>2.7195027381909853E-5</v>
      </c>
      <c r="E29">
        <f>EXP(((-1)/(2*'Cálculos Diversos'!$B$5))*(SQRT(SUMXMY2('Tabela Entrada-Saída'!$B$29:$O$29,'Coordenadas dos Polos'!$BF$2:$BS$2)))^2)</f>
        <v>1.0883253296456127E-4</v>
      </c>
      <c r="F29">
        <f>EXP(((-1)/(2*'Cálculos Diversos'!$B$5))*(SQRT(SUMXMY2('Tabela Entrada-Saída'!$B$29:$O$29,'Coordenadas dos Polos'!$BT$2:$CG$2)))^2)</f>
        <v>2.8271554867042811E-6</v>
      </c>
      <c r="G29">
        <f>EXP(((-1)/(2*'Cálculos Diversos'!$B$5))*(SQRT(SUMXMY2('Tabela Entrada-Saída'!$B$29:$O$29,'Coordenadas dos Polos'!$CH$2:$CU$2)))^2)</f>
        <v>1.2760837865825273E-4</v>
      </c>
      <c r="H29">
        <f>EXP(((-1)/(2*'Cálculos Diversos'!$B$5))*(SQRT(SUMXMY2('Tabela Entrada-Saída'!$B$29:$O$29,'Coordenadas dos Polos'!$CV$2:$DI$2)))^2)</f>
        <v>6.0391334329087771E-6</v>
      </c>
      <c r="I29">
        <f>EXP(((-1)/(2*'Cálculos Diversos'!$B$5))*(SQRT(SUMXMY2('Tabela Entrada-Saída'!$B$29:$O$29,'Coordenadas dos Polos'!$DJ$2:$DW$2)))^2)</f>
        <v>2.6225932071194462E-4</v>
      </c>
      <c r="J29">
        <f>EXP(((-1)/(2*'Cálculos Diversos'!$B$5))*(SQRT(SUMXMY2('Tabela Entrada-Saída'!$B$29:$O$29,'Coordenadas dos Polos'!$DX$2:$EK$2)))^2)</f>
        <v>1.0367037844399079E-4</v>
      </c>
      <c r="K29">
        <f>EXP(((-1)/(2*'Cálculos Diversos'!$B$5))*(SQRT(SUMXMY2('Tabela Entrada-Saída'!$B$29:$O$29,'Coordenadas dos Polos'!$EL$2:$EY$2)))^2)</f>
        <v>4.2909304609956726E-6</v>
      </c>
      <c r="L29">
        <f>EXP(((-1)/(2*'Cálculos Diversos'!$B$5))*(SQRT(SUMXMY2('Tabela Entrada-Saída'!$B$29:$O$29,'Coordenadas dos Polos'!$EZ$2:$FM$2)))^2)</f>
        <v>6.8219259013429667E-7</v>
      </c>
      <c r="M29">
        <f>EXP(((-1)/(2*'Cálculos Diversos'!$B$5))*(SQRT(SUMXMY2('Tabela Entrada-Saída'!$B$29:$O$29,'Coordenadas dos Polos'!$FN$2:$GA$2)))^2)</f>
        <v>1.3618255051346731E-5</v>
      </c>
      <c r="N29">
        <f>EXP(((-1)/(2*'Cálculos Diversos'!$B$5))*(SQRT(SUMXMY2('Tabela Entrada-Saída'!$B$29:$O$29,'Coordenadas dos Polos'!$GB$2:$GO$2)))^2)</f>
        <v>3.3501317705999777E-5</v>
      </c>
      <c r="O29">
        <f>EXP(((-1)/(2*'Cálculos Diversos'!$B$5))*(SQRT(SUMXMY2('Tabela Entrada-Saída'!$B$29:$O$29,'Coordenadas dos Polos'!$GP$2:$HC$2)))^2)</f>
        <v>2.7367536780203009E-6</v>
      </c>
      <c r="P29">
        <v>1</v>
      </c>
    </row>
    <row r="30" spans="1:16" x14ac:dyDescent="0.3">
      <c r="A30">
        <v>29</v>
      </c>
      <c r="B30">
        <f>EXP(((-1)/(2*'Cálculos Diversos'!$B$5))*(SQRT(SUMXMY2('Tabela Entrada-Saída'!$B$30:$O$30,'Coordenadas dos Polos'!$P$2:$AC$2)))^2)</f>
        <v>0.12812309964106294</v>
      </c>
      <c r="C30">
        <f>EXP(((-1)/(2*'Cálculos Diversos'!$B$5))*(SQRT(SUMXMY2('Tabela Entrada-Saída'!$B$30:$O$30,'Coordenadas dos Polos'!$AD$2:$AQ$2)))^2)</f>
        <v>8.3670206299528855E-5</v>
      </c>
      <c r="D30">
        <f>EXP(((-1)/(2*'Cálculos Diversos'!$B$5))*(SQRT(SUMXMY2('Tabela Entrada-Saída'!$B$30:$O$30,'Coordenadas dos Polos'!$AR$2:$BE$2)))^2)</f>
        <v>2.6718766582873565E-5</v>
      </c>
      <c r="E30">
        <f>EXP(((-1)/(2*'Cálculos Diversos'!$B$5))*(SQRT(SUMXMY2('Tabela Entrada-Saída'!$B$30:$O$30,'Coordenadas dos Polos'!$BF$2:$BS$2)))^2)</f>
        <v>1.2639337402551331E-4</v>
      </c>
      <c r="F30">
        <f>EXP(((-1)/(2*'Cálculos Diversos'!$B$5))*(SQRT(SUMXMY2('Tabela Entrada-Saída'!$B$30:$O$30,'Coordenadas dos Polos'!$BT$2:$CG$2)))^2)</f>
        <v>3.4332793653513114E-6</v>
      </c>
      <c r="G30">
        <f>EXP(((-1)/(2*'Cálculos Diversos'!$B$5))*(SQRT(SUMXMY2('Tabela Entrada-Saída'!$B$30:$O$30,'Coordenadas dos Polos'!$CH$2:$CU$2)))^2)</f>
        <v>1.2782927431700134E-4</v>
      </c>
      <c r="H30">
        <f>EXP(((-1)/(2*'Cálculos Diversos'!$B$5))*(SQRT(SUMXMY2('Tabela Entrada-Saída'!$B$30:$O$30,'Coordenadas dos Polos'!$CV$2:$DI$2)))^2)</f>
        <v>6.1329544905875455E-6</v>
      </c>
      <c r="I30">
        <f>EXP(((-1)/(2*'Cálculos Diversos'!$B$5))*(SQRT(SUMXMY2('Tabela Entrada-Saída'!$B$30:$O$30,'Coordenadas dos Polos'!$DJ$2:$DW$2)))^2)</f>
        <v>2.4742007311118078E-4</v>
      </c>
      <c r="J30">
        <f>EXP(((-1)/(2*'Cálculos Diversos'!$B$5))*(SQRT(SUMXMY2('Tabela Entrada-Saída'!$B$30:$O$30,'Coordenadas dos Polos'!$DX$2:$EK$2)))^2)</f>
        <v>1.064904717621504E-4</v>
      </c>
      <c r="K30">
        <f>EXP(((-1)/(2*'Cálculos Diversos'!$B$5))*(SQRT(SUMXMY2('Tabela Entrada-Saída'!$B$30:$O$30,'Coordenadas dos Polos'!$EL$2:$EY$2)))^2)</f>
        <v>4.2315760952146979E-6</v>
      </c>
      <c r="L30">
        <f>EXP(((-1)/(2*'Cálculos Diversos'!$B$5))*(SQRT(SUMXMY2('Tabela Entrada-Saída'!$B$30:$O$30,'Coordenadas dos Polos'!$EZ$2:$FM$2)))^2)</f>
        <v>8.0481241480691973E-7</v>
      </c>
      <c r="M30">
        <f>EXP(((-1)/(2*'Cálculos Diversos'!$B$5))*(SQRT(SUMXMY2('Tabela Entrada-Saída'!$B$30:$O$30,'Coordenadas dos Polos'!$FN$2:$GA$2)))^2)</f>
        <v>1.5839205871945795E-5</v>
      </c>
      <c r="N30">
        <f>EXP(((-1)/(2*'Cálculos Diversos'!$B$5))*(SQRT(SUMXMY2('Tabela Entrada-Saída'!$B$30:$O$30,'Coordenadas dos Polos'!$GB$2:$GO$2)))^2)</f>
        <v>3.8486719482064486E-5</v>
      </c>
      <c r="O30">
        <f>EXP(((-1)/(2*'Cálculos Diversos'!$B$5))*(SQRT(SUMXMY2('Tabela Entrada-Saída'!$B$30:$O$30,'Coordenadas dos Polos'!$GP$2:$HC$2)))^2)</f>
        <v>3.0757355626256584E-6</v>
      </c>
      <c r="P30">
        <v>1</v>
      </c>
    </row>
    <row r="31" spans="1:16" x14ac:dyDescent="0.3">
      <c r="A31">
        <v>30</v>
      </c>
      <c r="B31">
        <f>EXP(((-1)/(2*'Cálculos Diversos'!$B$5))*(SQRT(SUMXMY2('Tabela Entrada-Saída'!$B$31:$O$31,'Coordenadas dos Polos'!$P$2:$AC$2)))^2)</f>
        <v>8.3011415065904454E-2</v>
      </c>
      <c r="C31">
        <f>EXP(((-1)/(2*'Cálculos Diversos'!$B$5))*(SQRT(SUMXMY2('Tabela Entrada-Saída'!$B$31:$O$31,'Coordenadas dos Polos'!$AD$2:$AQ$2)))^2)</f>
        <v>7.3273082147480687E-5</v>
      </c>
      <c r="D31">
        <f>EXP(((-1)/(2*'Cálculos Diversos'!$B$5))*(SQRT(SUMXMY2('Tabela Entrada-Saída'!$B$31:$O$31,'Coordenadas dos Polos'!$AR$2:$BE$2)))^2)</f>
        <v>2.7293107461105201E-5</v>
      </c>
      <c r="E31">
        <f>EXP(((-1)/(2*'Cálculos Diversos'!$B$5))*(SQRT(SUMXMY2('Tabela Entrada-Saída'!$B$31:$O$31,'Coordenadas dos Polos'!$BF$2:$BS$2)))^2)</f>
        <v>9.2744677831821845E-5</v>
      </c>
      <c r="F31">
        <f>EXP(((-1)/(2*'Cálculos Diversos'!$B$5))*(SQRT(SUMXMY2('Tabela Entrada-Saída'!$B$31:$O$31,'Coordenadas dos Polos'!$BT$2:$CG$2)))^2)</f>
        <v>2.3084817971987092E-6</v>
      </c>
      <c r="G31">
        <f>EXP(((-1)/(2*'Cálculos Diversos'!$B$5))*(SQRT(SUMXMY2('Tabela Entrada-Saída'!$B$31:$O$31,'Coordenadas dos Polos'!$CH$2:$CU$2)))^2)</f>
        <v>1.2564181728298292E-4</v>
      </c>
      <c r="H31">
        <f>EXP(((-1)/(2*'Cálculos Diversos'!$B$5))*(SQRT(SUMXMY2('Tabela Entrada-Saída'!$B$31:$O$31,'Coordenadas dos Polos'!$CV$2:$DI$2)))^2)</f>
        <v>5.8736298573674422E-6</v>
      </c>
      <c r="I31">
        <f>EXP(((-1)/(2*'Cálculos Diversos'!$B$5))*(SQRT(SUMXMY2('Tabela Entrada-Saída'!$B$31:$O$31,'Coordenadas dos Polos'!$DJ$2:$DW$2)))^2)</f>
        <v>2.7367072424062678E-4</v>
      </c>
      <c r="J31">
        <f>EXP(((-1)/(2*'Cálculos Diversos'!$B$5))*(SQRT(SUMXMY2('Tabela Entrada-Saída'!$B$31:$O$31,'Coordenadas dos Polos'!$DX$2:$EK$2)))^2)</f>
        <v>9.9724705764104123E-5</v>
      </c>
      <c r="K31">
        <f>EXP(((-1)/(2*'Cálculos Diversos'!$B$5))*(SQRT(SUMXMY2('Tabela Entrada-Saída'!$B$31:$O$31,'Coordenadas dos Polos'!$EL$2:$EY$2)))^2)</f>
        <v>4.2897463079978143E-6</v>
      </c>
      <c r="L31">
        <f>EXP(((-1)/(2*'Cálculos Diversos'!$B$5))*(SQRT(SUMXMY2('Tabela Entrada-Saída'!$B$31:$O$31,'Coordenadas dos Polos'!$EZ$2:$FM$2)))^2)</f>
        <v>5.7306525523643657E-7</v>
      </c>
      <c r="M31">
        <f>EXP(((-1)/(2*'Cálculos Diversos'!$B$5))*(SQRT(SUMXMY2('Tabela Entrada-Saída'!$B$31:$O$31,'Coordenadas dos Polos'!$FN$2:$GA$2)))^2)</f>
        <v>1.1593133146518569E-5</v>
      </c>
      <c r="N31">
        <f>EXP(((-1)/(2*'Cálculos Diversos'!$B$5))*(SQRT(SUMXMY2('Tabela Entrada-Saída'!$B$31:$O$31,'Coordenadas dos Polos'!$GB$2:$GO$2)))^2)</f>
        <v>2.8887369575297147E-5</v>
      </c>
      <c r="O31">
        <f>EXP(((-1)/(2*'Cálculos Diversos'!$B$5))*(SQRT(SUMXMY2('Tabela Entrada-Saída'!$B$31:$O$31,'Coordenadas dos Polos'!$GP$2:$HC$2)))^2)</f>
        <v>2.4079392485712542E-6</v>
      </c>
      <c r="P31">
        <v>1</v>
      </c>
    </row>
    <row r="32" spans="1:16" x14ac:dyDescent="0.3">
      <c r="A32">
        <v>31</v>
      </c>
      <c r="B32">
        <f>EXP(((-1)/(2*'Cálculos Diversos'!$B$5))*(SQRT(SUMXMY2('Tabela Entrada-Saída'!$B$32:$O$32,'Coordenadas dos Polos'!$P$2:$AC$2)))^2)</f>
        <v>9.2012613288165554E-2</v>
      </c>
      <c r="C32">
        <f>EXP(((-1)/(2*'Cálculos Diversos'!$B$5))*(SQRT(SUMXMY2('Tabela Entrada-Saída'!$B$32:$O$32,'Coordenadas dos Polos'!$AD$2:$AQ$2)))^2)</f>
        <v>7.5870976183141026E-5</v>
      </c>
      <c r="D32">
        <f>EXP(((-1)/(2*'Cálculos Diversos'!$B$5))*(SQRT(SUMXMY2('Tabela Entrada-Saída'!$B$32:$O$32,'Coordenadas dos Polos'!$AR$2:$BE$2)))^2)</f>
        <v>2.7303372414721453E-5</v>
      </c>
      <c r="E32">
        <f>EXP(((-1)/(2*'Cálculos Diversos'!$B$5))*(SQRT(SUMXMY2('Tabela Entrada-Saída'!$B$32:$O$32,'Coordenadas dos Polos'!$BF$2:$BS$2)))^2)</f>
        <v>9.9958469049351125E-5</v>
      </c>
      <c r="F32">
        <f>EXP(((-1)/(2*'Cálculos Diversos'!$B$5))*(SQRT(SUMXMY2('Tabela Entrada-Saída'!$B$32:$O$32,'Coordenadas dos Polos'!$BT$2:$CG$2)))^2)</f>
        <v>2.5378900581551688E-6</v>
      </c>
      <c r="G32">
        <f>EXP(((-1)/(2*'Cálculos Diversos'!$B$5))*(SQRT(SUMXMY2('Tabela Entrada-Saída'!$B$32:$O$32,'Coordenadas dos Polos'!$CH$2:$CU$2)))^2)</f>
        <v>1.2676627310730901E-4</v>
      </c>
      <c r="H32">
        <f>EXP(((-1)/(2*'Cálculos Diversos'!$B$5))*(SQRT(SUMXMY2('Tabela Entrada-Saída'!$B$32:$O$32,'Coordenadas dos Polos'!$CV$2:$DI$2)))^2)</f>
        <v>5.9595752262519375E-6</v>
      </c>
      <c r="I32">
        <f>EXP(((-1)/(2*'Cálculos Diversos'!$B$5))*(SQRT(SUMXMY2('Tabela Entrada-Saída'!$B$32:$O$32,'Coordenadas dos Polos'!$DJ$2:$DW$2)))^2)</f>
        <v>2.6893924178310709E-4</v>
      </c>
      <c r="J32">
        <f>EXP(((-1)/(2*'Cálculos Diversos'!$B$5))*(SQRT(SUMXMY2('Tabela Entrada-Saída'!$B$32:$O$32,'Coordenadas dos Polos'!$DX$2:$EK$2)))^2)</f>
        <v>1.0172775347875307E-4</v>
      </c>
      <c r="K32">
        <f>EXP(((-1)/(2*'Cálculos Diversos'!$B$5))*(SQRT(SUMXMY2('Tabela Entrada-Saída'!$B$32:$O$32,'Coordenadas dos Polos'!$EL$2:$EY$2)))^2)</f>
        <v>4.2976636554112086E-6</v>
      </c>
      <c r="L32">
        <f>EXP(((-1)/(2*'Cálculos Diversos'!$B$5))*(SQRT(SUMXMY2('Tabela Entrada-Saída'!$B$32:$O$32,'Coordenadas dos Polos'!$EZ$2:$FM$2)))^2)</f>
        <v>6.2188884865806818E-7</v>
      </c>
      <c r="M32">
        <f>EXP(((-1)/(2*'Cálculos Diversos'!$B$5))*(SQRT(SUMXMY2('Tabela Entrada-Saída'!$B$32:$O$32,'Coordenadas dos Polos'!$FN$2:$GA$2)))^2)</f>
        <v>1.2501494117516623E-5</v>
      </c>
      <c r="N32">
        <f>EXP(((-1)/(2*'Cálculos Diversos'!$B$5))*(SQRT(SUMXMY2('Tabela Entrada-Saída'!$B$32:$O$32,'Coordenadas dos Polos'!$GB$2:$GO$2)))^2)</f>
        <v>3.0965629955368976E-5</v>
      </c>
      <c r="O32">
        <f>EXP(((-1)/(2*'Cálculos Diversos'!$B$5))*(SQRT(SUMXMY2('Tabela Entrada-Saída'!$B$32:$O$32,'Coordenadas dos Polos'!$GP$2:$HC$2)))^2)</f>
        <v>2.5576262952971816E-6</v>
      </c>
      <c r="P32">
        <v>1</v>
      </c>
    </row>
    <row r="33" spans="1:16" x14ac:dyDescent="0.3">
      <c r="A33">
        <v>32</v>
      </c>
      <c r="B33">
        <f>EXP(((-1)/(2*'Cálculos Diversos'!$B$5))*(SQRT(SUMXMY2('Tabela Entrada-Saída'!$B$33:$O$33,'Coordenadas dos Polos'!$P$2:$AC$2)))^2)</f>
        <v>0.11976804155542767</v>
      </c>
      <c r="C33">
        <f>EXP(((-1)/(2*'Cálculos Diversos'!$B$5))*(SQRT(SUMXMY2('Tabela Entrada-Saída'!$B$33:$O$33,'Coordenadas dos Polos'!$AD$2:$AQ$2)))^2)</f>
        <v>8.2085157749458757E-5</v>
      </c>
      <c r="D33">
        <f>EXP(((-1)/(2*'Cálculos Diversos'!$B$5))*(SQRT(SUMXMY2('Tabela Entrada-Saída'!$B$33:$O$33,'Coordenadas dos Polos'!$AR$2:$BE$2)))^2)</f>
        <v>2.689254415045622E-5</v>
      </c>
      <c r="E33">
        <f>EXP(((-1)/(2*'Cálculos Diversos'!$B$5))*(SQRT(SUMXMY2('Tabela Entrada-Saída'!$B$33:$O$33,'Coordenadas dos Polos'!$BF$2:$BS$2)))^2)</f>
        <v>1.2051393532703469E-4</v>
      </c>
      <c r="F33">
        <f>EXP(((-1)/(2*'Cálculos Diversos'!$B$5))*(SQRT(SUMXMY2('Tabela Entrada-Saída'!$B$33:$O$33,'Coordenadas dos Polos'!$BT$2:$CG$2)))^2)</f>
        <v>3.2271011186705863E-6</v>
      </c>
      <c r="G33">
        <f>EXP(((-1)/(2*'Cálculos Diversos'!$B$5))*(SQRT(SUMXMY2('Tabela Entrada-Saída'!$B$33:$O$33,'Coordenadas dos Polos'!$CH$2:$CU$2)))^2)</f>
        <v>1.2788410634567891E-4</v>
      </c>
      <c r="H33">
        <f>EXP(((-1)/(2*'Cálculos Diversos'!$B$5))*(SQRT(SUMXMY2('Tabela Entrada-Saída'!$B$33:$O$33,'Coordenadas dos Polos'!$CV$2:$DI$2)))^2)</f>
        <v>6.1028269208142668E-6</v>
      </c>
      <c r="I33">
        <f>EXP(((-1)/(2*'Cálculos Diversos'!$B$5))*(SQRT(SUMXMY2('Tabela Entrada-Saída'!$B$33:$O$33,'Coordenadas dos Polos'!$DJ$2:$DW$2)))^2)</f>
        <v>2.5241513152534566E-4</v>
      </c>
      <c r="J33">
        <f>EXP(((-1)/(2*'Cálculos Diversos'!$B$5))*(SQRT(SUMXMY2('Tabela Entrada-Saída'!$B$33:$O$33,'Coordenadas dos Polos'!$DX$2:$EK$2)))^2)</f>
        <v>1.0566713124485681E-4</v>
      </c>
      <c r="K33">
        <f>EXP(((-1)/(2*'Cálculos Diversos'!$B$5))*(SQRT(SUMXMY2('Tabela Entrada-Saída'!$B$33:$O$33,'Coordenadas dos Polos'!$EL$2:$EY$2)))^2)</f>
        <v>4.252826132576453E-6</v>
      </c>
      <c r="L33">
        <f>EXP(((-1)/(2*'Cálculos Diversos'!$B$5))*(SQRT(SUMXMY2('Tabela Entrada-Saída'!$B$33:$O$33,'Coordenadas dos Polos'!$EZ$2:$FM$2)))^2)</f>
        <v>7.6335793222754877E-7</v>
      </c>
      <c r="M33">
        <f>EXP(((-1)/(2*'Cálculos Diversos'!$B$5))*(SQRT(SUMXMY2('Tabela Entrada-Saída'!$B$33:$O$33,'Coordenadas dos Polos'!$FN$2:$GA$2)))^2)</f>
        <v>1.5091713356244369E-5</v>
      </c>
      <c r="N33">
        <f>EXP(((-1)/(2*'Cálculos Diversos'!$B$5))*(SQRT(SUMXMY2('Tabela Entrada-Saída'!$B$33:$O$33,'Coordenadas dos Polos'!$GB$2:$GO$2)))^2)</f>
        <v>3.6802291407387964E-5</v>
      </c>
      <c r="O33">
        <f>EXP(((-1)/(2*'Cálculos Diversos'!$B$5))*(SQRT(SUMXMY2('Tabela Entrada-Saída'!$B$33:$O$33,'Coordenadas dos Polos'!$GP$2:$HC$2)))^2)</f>
        <v>2.9645819291817495E-6</v>
      </c>
      <c r="P33">
        <v>1</v>
      </c>
    </row>
    <row r="34" spans="1:16" x14ac:dyDescent="0.3">
      <c r="A34">
        <v>33</v>
      </c>
      <c r="B34">
        <f>EXP(((-1)/(2*'Cálculos Diversos'!$B$5))*(SQRT(SUMXMY2('Tabela Entrada-Saída'!$B$34:$O$34,'Coordenadas dos Polos'!$P$2:$AC$2)))^2)</f>
        <v>9.5649415828692838E-2</v>
      </c>
      <c r="C34">
        <f>EXP(((-1)/(2*'Cálculos Diversos'!$B$5))*(SQRT(SUMXMY2('Tabela Entrada-Saída'!$B$34:$O$34,'Coordenadas dos Polos'!$AD$2:$AQ$2)))^2)</f>
        <v>7.6882068304606776E-5</v>
      </c>
      <c r="D34">
        <f>EXP(((-1)/(2*'Cálculos Diversos'!$B$5))*(SQRT(SUMXMY2('Tabela Entrada-Saída'!$B$34:$O$34,'Coordenadas dos Polos'!$AR$2:$BE$2)))^2)</f>
        <v>2.7282826108610603E-5</v>
      </c>
      <c r="E34">
        <f>EXP(((-1)/(2*'Cálculos Diversos'!$B$5))*(SQRT(SUMXMY2('Tabela Entrada-Saída'!$B$34:$O$34,'Coordenadas dos Polos'!$BF$2:$BS$2)))^2)</f>
        <v>1.0279543859880382E-4</v>
      </c>
      <c r="F34">
        <f>EXP(((-1)/(2*'Cálculos Diversos'!$B$5))*(SQRT(SUMXMY2('Tabela Entrada-Saída'!$B$34:$O$34,'Coordenadas dos Polos'!$BT$2:$CG$2)))^2)</f>
        <v>2.6287568538773417E-6</v>
      </c>
      <c r="G34">
        <f>EXP(((-1)/(2*'Cálculos Diversos'!$B$5))*(SQRT(SUMXMY2('Tabela Entrada-Saída'!$B$34:$O$34,'Coordenadas dos Polos'!$CH$2:$CU$2)))^2)</f>
        <v>1.2714604689874448E-4</v>
      </c>
      <c r="H34">
        <f>EXP(((-1)/(2*'Cálculos Diversos'!$B$5))*(SQRT(SUMXMY2('Tabela Entrada-Saída'!$B$34:$O$34,'Coordenadas dos Polos'!$CV$2:$DI$2)))^2)</f>
        <v>5.9943959748460027E-6</v>
      </c>
      <c r="I34">
        <f>EXP(((-1)/(2*'Cálculos Diversos'!$B$5))*(SQRT(SUMXMY2('Tabela Entrada-Saída'!$B$34:$O$34,'Coordenadas dos Polos'!$DJ$2:$DW$2)))^2)</f>
        <v>2.6681424769268763E-4</v>
      </c>
      <c r="J34">
        <f>EXP(((-1)/(2*'Cálculos Diversos'!$B$5))*(SQRT(SUMXMY2('Tabela Entrada-Saída'!$B$34:$O$34,'Coordenadas dos Polos'!$DX$2:$EK$2)))^2)</f>
        <v>1.0245092514848096E-4</v>
      </c>
      <c r="K34">
        <f>EXP(((-1)/(2*'Cálculos Diversos'!$B$5))*(SQRT(SUMXMY2('Tabela Entrada-Saída'!$B$34:$O$34,'Coordenadas dos Polos'!$EL$2:$EY$2)))^2)</f>
        <v>4.3000493107523879E-6</v>
      </c>
      <c r="L34">
        <f>EXP(((-1)/(2*'Cálculos Diversos'!$B$5))*(SQRT(SUMXMY2('Tabela Entrada-Saída'!$B$34:$O$34,'Coordenadas dos Polos'!$EZ$2:$FM$2)))^2)</f>
        <v>6.4105606269338091E-7</v>
      </c>
      <c r="M34">
        <f>EXP(((-1)/(2*'Cálculos Diversos'!$B$5))*(SQRT(SUMXMY2('Tabela Entrada-Saída'!$B$34:$O$34,'Coordenadas dos Polos'!$FN$2:$GA$2)))^2)</f>
        <v>1.2860780066029431E-5</v>
      </c>
      <c r="N34">
        <f>EXP(((-1)/(2*'Cálculos Diversos'!$B$5))*(SQRT(SUMXMY2('Tabela Entrada-Saída'!$B$34:$O$34,'Coordenadas dos Polos'!$GB$2:$GO$2)))^2)</f>
        <v>3.1807241392636974E-5</v>
      </c>
      <c r="O34">
        <f>EXP(((-1)/(2*'Cálculos Diversos'!$B$5))*(SQRT(SUMXMY2('Tabela Entrada-Saída'!$B$34:$O$34,'Coordenadas dos Polos'!$GP$2:$HC$2)))^2)</f>
        <v>2.6154124692853796E-6</v>
      </c>
      <c r="P34">
        <v>1</v>
      </c>
    </row>
    <row r="35" spans="1:16" x14ac:dyDescent="0.3">
      <c r="A35">
        <v>34</v>
      </c>
      <c r="B35">
        <f>EXP(((-1)/(2*'Cálculos Diversos'!$B$5))*(SQRT(SUMXMY2('Tabela Entrada-Saída'!$B$35:$O$35,'Coordenadas dos Polos'!$P$2:$AC$2)))^2)</f>
        <v>7.5639712650039548E-2</v>
      </c>
      <c r="C35">
        <f>EXP(((-1)/(2*'Cálculos Diversos'!$B$5))*(SQRT(SUMXMY2('Tabela Entrada-Saída'!$B$35:$O$35,'Coordenadas dos Polos'!$AD$2:$AQ$2)))^2)</f>
        <v>7.0873544007212959E-5</v>
      </c>
      <c r="D35">
        <f>EXP(((-1)/(2*'Cálculos Diversos'!$B$5))*(SQRT(SUMXMY2('Tabela Entrada-Saída'!$B$35:$O$35,'Coordenadas dos Polos'!$AR$2:$BE$2)))^2)</f>
        <v>2.7221387256523841E-5</v>
      </c>
      <c r="E35">
        <f>EXP(((-1)/(2*'Cálculos Diversos'!$B$5))*(SQRT(SUMXMY2('Tabela Entrada-Saída'!$B$35:$O$35,'Coordenadas dos Polos'!$BF$2:$BS$2)))^2)</f>
        <v>8.6656486877967825E-5</v>
      </c>
      <c r="F35">
        <f>EXP(((-1)/(2*'Cálculos Diversos'!$B$5))*(SQRT(SUMXMY2('Tabela Entrada-Saída'!$B$35:$O$35,'Coordenadas dos Polos'!$BT$2:$CG$2)))^2)</f>
        <v>2.1189606830857788E-6</v>
      </c>
      <c r="G35">
        <f>EXP(((-1)/(2*'Cálculos Diversos'!$B$5))*(SQRT(SUMXMY2('Tabela Entrada-Saída'!$B$35:$O$35,'Coordenadas dos Polos'!$CH$2:$CU$2)))^2)</f>
        <v>1.2436045507281134E-4</v>
      </c>
      <c r="H35">
        <f>EXP(((-1)/(2*'Cálculos Diversos'!$B$5))*(SQRT(SUMXMY2('Tabela Entrada-Saída'!$B$35:$O$35,'Coordenadas dos Polos'!$CV$2:$DI$2)))^2)</f>
        <v>5.7788048415478454E-6</v>
      </c>
      <c r="I35">
        <f>EXP(((-1)/(2*'Cálculos Diversos'!$B$5))*(SQRT(SUMXMY2('Tabela Entrada-Saída'!$B$35:$O$35,'Coordenadas dos Polos'!$DJ$2:$DW$2)))^2)</f>
        <v>2.7745615426672134E-4</v>
      </c>
      <c r="J35">
        <f>EXP(((-1)/(2*'Cálculos Diversos'!$B$5))*(SQRT(SUMXMY2('Tabela Entrada-Saída'!$B$35:$O$35,'Coordenadas dos Polos'!$DX$2:$EK$2)))^2)</f>
        <v>9.7686418927510506E-5</v>
      </c>
      <c r="K35">
        <f>EXP(((-1)/(2*'Cálculos Diversos'!$B$5))*(SQRT(SUMXMY2('Tabela Entrada-Saída'!$B$35:$O$35,'Coordenadas dos Polos'!$EL$2:$EY$2)))^2)</f>
        <v>4.271806578585937E-6</v>
      </c>
      <c r="L35">
        <f>EXP(((-1)/(2*'Cálculos Diversos'!$B$5))*(SQRT(SUMXMY2('Tabela Entrada-Saída'!$B$35:$O$35,'Coordenadas dos Polos'!$EZ$2:$FM$2)))^2)</f>
        <v>5.3198035328336867E-7</v>
      </c>
      <c r="M35">
        <f>EXP(((-1)/(2*'Cálculos Diversos'!$B$5))*(SQRT(SUMXMY2('Tabela Entrada-Saída'!$B$35:$O$35,'Coordenadas dos Polos'!$FN$2:$GA$2)))^2)</f>
        <v>1.0825134381649006E-5</v>
      </c>
      <c r="N35">
        <f>EXP(((-1)/(2*'Cálculos Diversos'!$B$5))*(SQRT(SUMXMY2('Tabela Entrada-Saída'!$B$35:$O$35,'Coordenadas dos Polos'!$GB$2:$GO$2)))^2)</f>
        <v>2.7076692624996615E-5</v>
      </c>
      <c r="O35">
        <f>EXP(((-1)/(2*'Cálculos Diversos'!$B$5))*(SQRT(SUMXMY2('Tabela Entrada-Saída'!$B$35:$O$35,'Coordenadas dos Polos'!$GP$2:$HC$2)))^2)</f>
        <v>2.2787117300562064E-6</v>
      </c>
      <c r="P35">
        <v>1</v>
      </c>
    </row>
    <row r="36" spans="1:16" x14ac:dyDescent="0.3">
      <c r="A36">
        <v>35</v>
      </c>
      <c r="B36">
        <f>EXP(((-1)/(2*'Cálculos Diversos'!$B$5))*(SQRT(SUMXMY2('Tabela Entrada-Saída'!$B$36:$O$36,'Coordenadas dos Polos'!$P$2:$AC$2)))^2)</f>
        <v>0.11375791971512073</v>
      </c>
      <c r="C36">
        <f>EXP(((-1)/(2*'Cálculos Diversos'!$B$5))*(SQRT(SUMXMY2('Tabela Entrada-Saída'!$B$36:$O$36,'Coordenadas dos Polos'!$AD$2:$AQ$2)))^2)</f>
        <v>8.0941631269351933E-5</v>
      </c>
      <c r="D36">
        <f>EXP(((-1)/(2*'Cálculos Diversos'!$B$5))*(SQRT(SUMXMY2('Tabela Entrada-Saída'!$B$36:$O$36,'Coordenadas dos Polos'!$AR$2:$BE$2)))^2)</f>
        <v>2.7025998800089629E-5</v>
      </c>
      <c r="E36">
        <f>EXP(((-1)/(2*'Cálculos Diversos'!$B$5))*(SQRT(SUMXMY2('Tabela Entrada-Saída'!$B$36:$O$36,'Coordenadas dos Polos'!$BF$2:$BS$2)))^2)</f>
        <v>1.1629289453208642E-4</v>
      </c>
      <c r="F36">
        <f>EXP(((-1)/(2*'Cálculos Diversos'!$B$5))*(SQRT(SUMXMY2('Tabela Entrada-Saída'!$B$36:$O$36,'Coordenadas dos Polos'!$BT$2:$CG$2)))^2)</f>
        <v>3.0794220606816198E-6</v>
      </c>
      <c r="G36">
        <f>EXP(((-1)/(2*'Cálculos Diversos'!$B$5))*(SQRT(SUMXMY2('Tabela Entrada-Saída'!$B$36:$O$36,'Coordenadas dos Polos'!$CH$2:$CU$2)))^2)</f>
        <v>1.2791421721597762E-4</v>
      </c>
      <c r="H36">
        <f>EXP(((-1)/(2*'Cálculos Diversos'!$B$5))*(SQRT(SUMXMY2('Tabela Entrada-Saída'!$B$36:$O$36,'Coordenadas dos Polos'!$CV$2:$DI$2)))^2)</f>
        <v>6.0825394071324168E-6</v>
      </c>
      <c r="I36">
        <f>EXP(((-1)/(2*'Cálculos Diversos'!$B$5))*(SQRT(SUMXMY2('Tabela Entrada-Saída'!$B$36:$O$36,'Coordenadas dos Polos'!$DJ$2:$DW$2)))^2)</f>
        <v>2.5624364832538098E-4</v>
      </c>
      <c r="J36">
        <f>EXP(((-1)/(2*'Cálculos Diversos'!$B$5))*(SQRT(SUMXMY2('Tabela Entrada-Saída'!$B$36:$O$36,'Coordenadas dos Polos'!$DX$2:$EK$2)))^2)</f>
        <v>1.0499148927546441E-4</v>
      </c>
      <c r="K36">
        <f>EXP(((-1)/(2*'Cálculos Diversos'!$B$5))*(SQRT(SUMXMY2('Tabela Entrada-Saída'!$B$36:$O$36,'Coordenadas dos Polos'!$EL$2:$EY$2)))^2)</f>
        <v>4.2704635720272165E-6</v>
      </c>
      <c r="L36">
        <f>EXP(((-1)/(2*'Cálculos Diversos'!$B$5))*(SQRT(SUMXMY2('Tabela Entrada-Saída'!$B$36:$O$36,'Coordenadas dos Polos'!$EZ$2:$FM$2)))^2)</f>
        <v>7.3365212987674194E-7</v>
      </c>
      <c r="M36">
        <f>EXP(((-1)/(2*'Cálculos Diversos'!$B$5))*(SQRT(SUMXMY2('Tabela Entrada-Saída'!$B$36:$O$36,'Coordenadas dos Polos'!$FN$2:$GA$2)))^2)</f>
        <v>1.4557534004606577E-5</v>
      </c>
      <c r="N36">
        <f>EXP(((-1)/(2*'Cálculos Diversos'!$B$5))*(SQRT(SUMXMY2('Tabela Entrada-Saída'!$B$36:$O$36,'Coordenadas dos Polos'!$GB$2:$GO$2)))^2)</f>
        <v>3.5590704550818372E-5</v>
      </c>
      <c r="O36">
        <f>EXP(((-1)/(2*'Cálculos Diversos'!$B$5))*(SQRT(SUMXMY2('Tabela Entrada-Saída'!$B$36:$O$36,'Coordenadas dos Polos'!$GP$2:$HC$2)))^2)</f>
        <v>2.8835172309703148E-6</v>
      </c>
      <c r="P36">
        <v>1</v>
      </c>
    </row>
    <row r="37" spans="1:16" x14ac:dyDescent="0.3">
      <c r="A37">
        <v>36</v>
      </c>
      <c r="B37">
        <f>EXP(((-1)/(2*'Cálculos Diversos'!$B$5))*(SQRT(SUMXMY2('Tabela Entrada-Saída'!$B$37:$O$37,'Coordenadas dos Polos'!$P$2:$AC$2)))^2)</f>
        <v>7.452987279325482E-2</v>
      </c>
      <c r="C37">
        <f>EXP(((-1)/(2*'Cálculos Diversos'!$B$5))*(SQRT(SUMXMY2('Tabela Entrada-Saída'!$B$37:$O$37,'Coordenadas dos Polos'!$AD$2:$AQ$2)))^2)</f>
        <v>7.0448282550610717E-5</v>
      </c>
      <c r="D37">
        <f>EXP(((-1)/(2*'Cálculos Diversos'!$B$5))*(SQRT(SUMXMY2('Tabela Entrada-Saída'!$B$37:$O$37,'Coordenadas dos Polos'!$AR$2:$BE$2)))^2)</f>
        <v>2.7183704264731416E-5</v>
      </c>
      <c r="E37">
        <f>EXP(((-1)/(2*'Cálculos Diversos'!$B$5))*(SQRT(SUMXMY2('Tabela Entrada-Saída'!$B$37:$O$37,'Coordenadas dos Polos'!$BF$2:$BS$2)))^2)</f>
        <v>8.5671502311900584E-5</v>
      </c>
      <c r="F37">
        <f>EXP(((-1)/(2*'Cálculos Diversos'!$B$5))*(SQRT(SUMXMY2('Tabela Entrada-Saída'!$B$37:$O$37,'Coordenadas dos Polos'!$BT$2:$CG$2)))^2)</f>
        <v>2.0892793374233419E-6</v>
      </c>
      <c r="G37">
        <f>EXP(((-1)/(2*'Cálculos Diversos'!$B$5))*(SQRT(SUMXMY2('Tabela Entrada-Saída'!$B$37:$O$37,'Coordenadas dos Polos'!$CH$2:$CU$2)))^2)</f>
        <v>1.2409364267193881E-4</v>
      </c>
      <c r="H37">
        <f>EXP(((-1)/(2*'Cálculos Diversos'!$B$5))*(SQRT(SUMXMY2('Tabela Entrada-Saída'!$B$37:$O$37,'Coordenadas dos Polos'!$CV$2:$DI$2)))^2)</f>
        <v>5.7601236757637304E-6</v>
      </c>
      <c r="I37">
        <f>EXP(((-1)/(2*'Cálculos Diversos'!$B$5))*(SQRT(SUMXMY2('Tabela Entrada-Saída'!$B$37:$O$37,'Coordenadas dos Polos'!$DJ$2:$DW$2)))^2)</f>
        <v>2.7774924977074877E-4</v>
      </c>
      <c r="J37">
        <f>EXP(((-1)/(2*'Cálculos Diversos'!$B$5))*(SQRT(SUMXMY2('Tabela Entrada-Saída'!$B$37:$O$37,'Coordenadas dos Polos'!$DX$2:$EK$2)))^2)</f>
        <v>9.7325014366468323E-5</v>
      </c>
      <c r="K37">
        <f>EXP(((-1)/(2*'Cálculos Diversos'!$B$5))*(SQRT(SUMXMY2('Tabela Entrada-Saída'!$B$37:$O$37,'Coordenadas dos Polos'!$EL$2:$EY$2)))^2)</f>
        <v>4.2656134642826168E-6</v>
      </c>
      <c r="L37">
        <f>EXP(((-1)/(2*'Cálculos Diversos'!$B$5))*(SQRT(SUMXMY2('Tabela Entrada-Saída'!$B$37:$O$37,'Coordenadas dos Polos'!$EZ$2:$FM$2)))^2)</f>
        <v>5.2538943624943404E-7</v>
      </c>
      <c r="M37">
        <f>EXP(((-1)/(2*'Cálculos Diversos'!$B$5))*(SQRT(SUMXMY2('Tabela Entrada-Saída'!$B$37:$O$37,'Coordenadas dos Polos'!$FN$2:$GA$2)))^2)</f>
        <v>1.0699818780570381E-5</v>
      </c>
      <c r="N37">
        <f>EXP(((-1)/(2*'Cálculos Diversos'!$B$5))*(SQRT(SUMXMY2('Tabela Entrada-Saída'!$B$37:$O$37,'Coordenadas dos Polos'!$GB$2:$GO$2)))^2)</f>
        <v>2.6792839657915039E-5</v>
      </c>
      <c r="O37">
        <f>EXP(((-1)/(2*'Cálculos Diversos'!$B$5))*(SQRT(SUMXMY2('Tabela Entrada-Saída'!$B$37:$O$37,'Coordenadas dos Polos'!$GP$2:$HC$2)))^2)</f>
        <v>2.2577540639113059E-6</v>
      </c>
      <c r="P37">
        <v>1</v>
      </c>
    </row>
    <row r="38" spans="1:16" x14ac:dyDescent="0.3">
      <c r="A38">
        <v>37</v>
      </c>
      <c r="B38">
        <f>EXP(((-1)/(2*'Cálculos Diversos'!$B$5))*(SQRT(SUMXMY2('Tabela Entrada-Saída'!$B$38:$O$38,'Coordenadas dos Polos'!$P$2:$AC$2)))^2)</f>
        <v>8.5030661197193685E-2</v>
      </c>
      <c r="C38">
        <f>EXP(((-1)/(2*'Cálculos Diversos'!$B$5))*(SQRT(SUMXMY2('Tabela Entrada-Saída'!$B$38:$O$38,'Coordenadas dos Polos'!$AD$2:$AQ$2)))^2)</f>
        <v>7.3857884563475833E-5</v>
      </c>
      <c r="D38">
        <f>EXP(((-1)/(2*'Cálculos Diversos'!$B$5))*(SQRT(SUMXMY2('Tabela Entrada-Saída'!$B$38:$O$38,'Coordenadas dos Polos'!$AR$2:$BE$2)))^2)</f>
        <v>2.7296757986677271E-5</v>
      </c>
      <c r="E38">
        <f>EXP(((-1)/(2*'Cálculos Diversos'!$B$5))*(SQRT(SUMXMY2('Tabela Entrada-Saída'!$B$38:$O$38,'Coordenadas dos Polos'!$BF$2:$BS$2)))^2)</f>
        <v>9.439315312870335E-5</v>
      </c>
      <c r="F38">
        <f>EXP(((-1)/(2*'Cálculos Diversos'!$B$5))*(SQRT(SUMXMY2('Tabela Entrada-Saída'!$B$38:$O$38,'Coordenadas dos Polos'!$BT$2:$CG$2)))^2)</f>
        <v>2.3594904446163174E-6</v>
      </c>
      <c r="G38">
        <f>EXP(((-1)/(2*'Cálculos Diversos'!$B$5))*(SQRT(SUMXMY2('Tabela Entrada-Saída'!$B$38:$O$38,'Coordenadas dos Polos'!$CH$2:$CU$2)))^2)</f>
        <v>1.2591876852730918E-4</v>
      </c>
      <c r="H38">
        <f>EXP(((-1)/(2*'Cálculos Diversos'!$B$5))*(SQRT(SUMXMY2('Tabela Entrada-Saída'!$B$38:$O$38,'Coordenadas dos Polos'!$CV$2:$DI$2)))^2)</f>
        <v>5.8895916522873391E-6</v>
      </c>
      <c r="I38">
        <f>EXP(((-1)/(2*'Cálculos Diversos'!$B$5))*(SQRT(SUMXMY2('Tabela Entrada-Saída'!$B$38:$O$38,'Coordenadas dos Polos'!$DJ$2:$DW$2)))^2)</f>
        <v>2.7271274375141271E-4</v>
      </c>
      <c r="J38">
        <f>EXP(((-1)/(2*'Cálculos Diversos'!$B$5))*(SQRT(SUMXMY2('Tabela Entrada-Saída'!$B$38:$O$38,'Coordenadas dos Polos'!$DX$2:$EK$2)))^2)</f>
        <v>1.0012785530926983E-4</v>
      </c>
      <c r="K38">
        <f>EXP(((-1)/(2*'Cálculos Diversos'!$B$5))*(SQRT(SUMXMY2('Tabela Entrada-Saída'!$B$38:$O$38,'Coordenadas dos Polos'!$EL$2:$EY$2)))^2)</f>
        <v>4.2916842710518995E-6</v>
      </c>
      <c r="L38">
        <f>EXP(((-1)/(2*'Cálculos Diversos'!$B$5))*(SQRT(SUMXMY2('Tabela Entrada-Saída'!$B$38:$O$38,'Coordenadas dos Polos'!$EZ$2:$FM$2)))^2)</f>
        <v>5.8389508081737491E-7</v>
      </c>
      <c r="M38">
        <f>EXP(((-1)/(2*'Cálculos Diversos'!$B$5))*(SQRT(SUMXMY2('Tabela Entrada-Saída'!$B$38:$O$38,'Coordenadas dos Polos'!$FN$2:$GA$2)))^2)</f>
        <v>1.179856297851567E-5</v>
      </c>
      <c r="N38">
        <f>EXP(((-1)/(2*'Cálculos Diversos'!$B$5))*(SQRT(SUMXMY2('Tabela Entrada-Saída'!$B$38:$O$38,'Coordenadas dos Polos'!$GB$2:$GO$2)))^2)</f>
        <v>2.9335272609492708E-5</v>
      </c>
      <c r="O38">
        <f>EXP(((-1)/(2*'Cálculos Diversos'!$B$5))*(SQRT(SUMXMY2('Tabela Entrada-Saída'!$B$38:$O$38,'Coordenadas dos Polos'!$GP$2:$HC$2)))^2)</f>
        <v>2.4424332323142869E-6</v>
      </c>
      <c r="P38">
        <v>1</v>
      </c>
    </row>
    <row r="39" spans="1:16" x14ac:dyDescent="0.3">
      <c r="A39">
        <v>38</v>
      </c>
      <c r="B39">
        <f>EXP(((-1)/(2*'Cálculos Diversos'!$B$5))*(SQRT(SUMXMY2('Tabela Entrada-Saída'!$B$39:$O$39,'Coordenadas dos Polos'!$P$2:$AC$2)))^2)</f>
        <v>0.10544072953108632</v>
      </c>
      <c r="C39">
        <f>EXP(((-1)/(2*'Cálculos Diversos'!$B$5))*(SQRT(SUMXMY2('Tabela Entrada-Saída'!$B$39:$O$39,'Coordenadas dos Polos'!$AD$2:$AQ$2)))^2)</f>
        <v>7.9301546908631967E-5</v>
      </c>
      <c r="D39">
        <f>EXP(((-1)/(2*'Cálculos Diversos'!$B$5))*(SQRT(SUMXMY2('Tabela Entrada-Saída'!$B$39:$O$39,'Coordenadas dos Polos'!$AR$2:$BE$2)))^2)</f>
        <v>2.7199338652975693E-5</v>
      </c>
      <c r="E39">
        <f>EXP(((-1)/(2*'Cálculos Diversos'!$B$5))*(SQRT(SUMXMY2('Tabela Entrada-Saída'!$B$39:$O$39,'Coordenadas dos Polos'!$BF$2:$BS$2)))^2)</f>
        <v>1.1026291569849969E-4</v>
      </c>
      <c r="F39">
        <f>EXP(((-1)/(2*'Cálculos Diversos'!$B$5))*(SQRT(SUMXMY2('Tabela Entrada-Saída'!$B$39:$O$39,'Coordenadas dos Polos'!$BT$2:$CG$2)))^2)</f>
        <v>2.875916974214519E-6</v>
      </c>
      <c r="G39">
        <f>EXP(((-1)/(2*'Cálculos Diversos'!$B$5))*(SQRT(SUMXMY2('Tabela Entrada-Saída'!$B$39:$O$39,'Coordenadas dos Polos'!$CH$2:$CU$2)))^2)</f>
        <v>1.2780237566700387E-4</v>
      </c>
      <c r="H39">
        <f>EXP(((-1)/(2*'Cálculos Diversos'!$B$5))*(SQRT(SUMXMY2('Tabela Entrada-Saída'!$B$39:$O$39,'Coordenadas dos Polos'!$CV$2:$DI$2)))^2)</f>
        <v>6.0632120305135709E-6</v>
      </c>
      <c r="I39">
        <f>EXP(((-1)/(2*'Cálculos Diversos'!$B$5))*(SQRT(SUMXMY2('Tabela Entrada-Saída'!$B$39:$O$39,'Coordenadas dos Polos'!$DJ$2:$DW$2)))^2)</f>
        <v>2.6127557018975863E-4</v>
      </c>
      <c r="J39">
        <f>EXP(((-1)/(2*'Cálculos Diversos'!$B$5))*(SQRT(SUMXMY2('Tabela Entrada-Saída'!$B$39:$O$39,'Coordenadas dos Polos'!$DX$2:$EK$2)))^2)</f>
        <v>1.0413393365592326E-4</v>
      </c>
      <c r="K39">
        <f>EXP(((-1)/(2*'Cálculos Diversos'!$B$5))*(SQRT(SUMXMY2('Tabela Entrada-Saída'!$B$39:$O$39,'Coordenadas dos Polos'!$EL$2:$EY$2)))^2)</f>
        <v>4.2932037981896755E-6</v>
      </c>
      <c r="L39">
        <f>EXP(((-1)/(2*'Cálculos Diversos'!$B$5))*(SQRT(SUMXMY2('Tabela Entrada-Saída'!$B$39:$O$39,'Coordenadas dos Polos'!$EZ$2:$FM$2)))^2)</f>
        <v>6.9256927221499281E-7</v>
      </c>
      <c r="M39">
        <f>EXP(((-1)/(2*'Cálculos Diversos'!$B$5))*(SQRT(SUMXMY2('Tabela Entrada-Saída'!$B$39:$O$39,'Coordenadas dos Polos'!$FN$2:$GA$2)))^2)</f>
        <v>1.3804666909123412E-5</v>
      </c>
      <c r="N39">
        <f>EXP(((-1)/(2*'Cálculos Diversos'!$B$5))*(SQRT(SUMXMY2('Tabela Entrada-Saída'!$B$39:$O$39,'Coordenadas dos Polos'!$GB$2:$GO$2)))^2)</f>
        <v>3.3961043256536667E-5</v>
      </c>
      <c r="O39">
        <f>EXP(((-1)/(2*'Cálculos Diversos'!$B$5))*(SQRT(SUMXMY2('Tabela Entrada-Saída'!$B$39:$O$39,'Coordenadas dos Polos'!$GP$2:$HC$2)))^2)</f>
        <v>2.7652552939134094E-6</v>
      </c>
      <c r="P39">
        <v>1</v>
      </c>
    </row>
    <row r="40" spans="1:16" x14ac:dyDescent="0.3">
      <c r="A40">
        <v>39</v>
      </c>
      <c r="B40">
        <f>EXP(((-1)/(2*'Cálculos Diversos'!$B$5))*(SQRT(SUMXMY2('Tabela Entrada-Saída'!$B$40:$O$40,'Coordenadas dos Polos'!$P$2:$AC$2)))^2)</f>
        <v>9.681949595768341E-2</v>
      </c>
      <c r="C40">
        <f>EXP(((-1)/(2*'Cálculos Diversos'!$B$5))*(SQRT(SUMXMY2('Tabela Entrada-Saída'!$B$40:$O$40,'Coordenadas dos Polos'!$AD$2:$AQ$2)))^2)</f>
        <v>7.708957635715217E-5</v>
      </c>
      <c r="D40">
        <f>EXP(((-1)/(2*'Cálculos Diversos'!$B$5))*(SQRT(SUMXMY2('Tabela Entrada-Saída'!$B$40:$O$40,'Coordenadas dos Polos'!$AR$2:$BE$2)))^2)</f>
        <v>2.7252619815818878E-5</v>
      </c>
      <c r="E40">
        <f>EXP(((-1)/(2*'Cálculos Diversos'!$B$5))*(SQRT(SUMXMY2('Tabela Entrada-Saída'!$B$40:$O$40,'Coordenadas dos Polos'!$BF$2:$BS$2)))^2)</f>
        <v>1.0366887489897495E-4</v>
      </c>
      <c r="F40">
        <f>EXP(((-1)/(2*'Cálculos Diversos'!$B$5))*(SQRT(SUMXMY2('Tabela Entrada-Saída'!$B$40:$O$40,'Coordenadas dos Polos'!$BT$2:$CG$2)))^2)</f>
        <v>2.6575067085960784E-6</v>
      </c>
      <c r="G40">
        <f>EXP(((-1)/(2*'Cálculos Diversos'!$B$5))*(SQRT(SUMXMY2('Tabela Entrada-Saída'!$B$40:$O$40,'Coordenadas dos Polos'!$CH$2:$CU$2)))^2)</f>
        <v>1.2718095948642853E-4</v>
      </c>
      <c r="H40">
        <f>EXP(((-1)/(2*'Cálculos Diversos'!$B$5))*(SQRT(SUMXMY2('Tabela Entrada-Saída'!$B$40:$O$40,'Coordenadas dos Polos'!$CV$2:$DI$2)))^2)</f>
        <v>5.990340294761347E-6</v>
      </c>
      <c r="I40">
        <f>EXP(((-1)/(2*'Cálculos Diversos'!$B$5))*(SQRT(SUMXMY2('Tabela Entrada-Saída'!$B$40:$O$40,'Coordenadas dos Polos'!$DJ$2:$DW$2)))^2)</f>
        <v>2.6613020646962476E-4</v>
      </c>
      <c r="J40">
        <f>EXP(((-1)/(2*'Cálculos Diversos'!$B$5))*(SQRT(SUMXMY2('Tabela Entrada-Saída'!$B$40:$O$40,'Coordenadas dos Polos'!$DX$2:$EK$2)))^2)</f>
        <v>1.0255419681097147E-4</v>
      </c>
      <c r="K40">
        <f>EXP(((-1)/(2*'Cálculos Diversos'!$B$5))*(SQRT(SUMXMY2('Tabela Entrada-Saída'!$B$40:$O$40,'Coordenadas dos Polos'!$EL$2:$EY$2)))^2)</f>
        <v>4.2946909115211289E-6</v>
      </c>
      <c r="L40">
        <f>EXP(((-1)/(2*'Cálculos Diversos'!$B$5))*(SQRT(SUMXMY2('Tabela Entrada-Saída'!$B$40:$O$40,'Coordenadas dos Polos'!$EZ$2:$FM$2)))^2)</f>
        <v>6.4678684547219813E-7</v>
      </c>
      <c r="M40">
        <f>EXP(((-1)/(2*'Cálculos Diversos'!$B$5))*(SQRT(SUMXMY2('Tabela Entrada-Saída'!$B$40:$O$40,'Coordenadas dos Polos'!$FN$2:$GA$2)))^2)</f>
        <v>1.2965981214218346E-5</v>
      </c>
      <c r="N40">
        <f>EXP(((-1)/(2*'Cálculos Diversos'!$B$5))*(SQRT(SUMXMY2('Tabela Entrada-Saída'!$B$40:$O$40,'Coordenadas dos Polos'!$GB$2:$GO$2)))^2)</f>
        <v>3.2007788238818225E-5</v>
      </c>
      <c r="O40">
        <f>EXP(((-1)/(2*'Cálculos Diversos'!$B$5))*(SQRT(SUMXMY2('Tabela Entrada-Saída'!$B$40:$O$40,'Coordenadas dos Polos'!$GP$2:$HC$2)))^2)</f>
        <v>2.6334463780767602E-6</v>
      </c>
      <c r="P40">
        <v>1</v>
      </c>
    </row>
    <row r="41" spans="1:16" x14ac:dyDescent="0.3">
      <c r="A41">
        <v>40</v>
      </c>
      <c r="B41">
        <f>EXP(((-1)/(2*'Cálculos Diversos'!$B$5))*(SQRT(SUMXMY2('Tabela Entrada-Saída'!$B$41:$O$41,'Coordenadas dos Polos'!$P$2:$AC$2)))^2)</f>
        <v>0.10473900833212825</v>
      </c>
      <c r="C41">
        <f>EXP(((-1)/(2*'Cálculos Diversos'!$B$5))*(SQRT(SUMXMY2('Tabela Entrada-Saída'!$B$41:$O$41,'Coordenadas dos Polos'!$AD$2:$AQ$2)))^2)</f>
        <v>7.8973033726634554E-5</v>
      </c>
      <c r="D41">
        <f>EXP(((-1)/(2*'Cálculos Diversos'!$B$5))*(SQRT(SUMXMY2('Tabela Entrada-Saída'!$B$41:$O$41,'Coordenadas dos Polos'!$AR$2:$BE$2)))^2)</f>
        <v>2.716161127382951E-5</v>
      </c>
      <c r="E41">
        <f>EXP(((-1)/(2*'Cálculos Diversos'!$B$5))*(SQRT(SUMXMY2('Tabela Entrada-Saída'!$B$41:$O$41,'Coordenadas dos Polos'!$BF$2:$BS$2)))^2)</f>
        <v>1.096640387412047E-4</v>
      </c>
      <c r="F41">
        <f>EXP(((-1)/(2*'Cálculos Diversos'!$B$5))*(SQRT(SUMXMY2('Tabela Entrada-Saída'!$B$41:$O$41,'Coordenadas dos Polos'!$BT$2:$CG$2)))^2)</f>
        <v>2.8559465439620363E-6</v>
      </c>
      <c r="G41">
        <f>EXP(((-1)/(2*'Cálculos Diversos'!$B$5))*(SQRT(SUMXMY2('Tabela Entrada-Saída'!$B$41:$O$41,'Coordenadas dos Polos'!$CH$2:$CU$2)))^2)</f>
        <v>1.2765810505141492E-4</v>
      </c>
      <c r="H41">
        <f>EXP(((-1)/(2*'Cálculos Diversos'!$B$5))*(SQRT(SUMXMY2('Tabela Entrada-Saída'!$B$41:$O$41,'Coordenadas dos Polos'!$CV$2:$DI$2)))^2)</f>
        <v>6.0366829800761955E-6</v>
      </c>
      <c r="I41">
        <f>EXP(((-1)/(2*'Cálculos Diversos'!$B$5))*(SQRT(SUMXMY2('Tabela Entrada-Saída'!$B$41:$O$41,'Coordenadas dos Polos'!$DJ$2:$DW$2)))^2)</f>
        <v>2.6156142298397879E-4</v>
      </c>
      <c r="J41">
        <f>EXP(((-1)/(2*'Cálculos Diversos'!$B$5))*(SQRT(SUMXMY2('Tabela Entrada-Saída'!$B$41:$O$41,'Coordenadas dos Polos'!$DX$2:$EK$2)))^2)</f>
        <v>1.0381728086631926E-4</v>
      </c>
      <c r="K41">
        <f>EXP(((-1)/(2*'Cálculos Diversos'!$B$5))*(SQRT(SUMXMY2('Tabela Entrada-Saída'!$B$41:$O$41,'Coordenadas dos Polos'!$EL$2:$EY$2)))^2)</f>
        <v>4.2854104507333104E-6</v>
      </c>
      <c r="L41">
        <f>EXP(((-1)/(2*'Cálculos Diversos'!$B$5))*(SQRT(SUMXMY2('Tabela Entrada-Saída'!$B$41:$O$41,'Coordenadas dos Polos'!$EZ$2:$FM$2)))^2)</f>
        <v>6.8783012456680852E-7</v>
      </c>
      <c r="M41">
        <f>EXP(((-1)/(2*'Cálculos Diversos'!$B$5))*(SQRT(SUMXMY2('Tabela Entrada-Saída'!$B$41:$O$41,'Coordenadas dos Polos'!$FN$2:$GA$2)))^2)</f>
        <v>1.3720380041087817E-5</v>
      </c>
      <c r="N41">
        <f>EXP(((-1)/(2*'Cálculos Diversos'!$B$5))*(SQRT(SUMXMY2('Tabela Entrada-Saída'!$B$41:$O$41,'Coordenadas dos Polos'!$GB$2:$GO$2)))^2)</f>
        <v>3.3700580330964395E-5</v>
      </c>
      <c r="O41">
        <f>EXP(((-1)/(2*'Cálculos Diversos'!$B$5))*(SQRT(SUMXMY2('Tabela Entrada-Saída'!$B$41:$O$41,'Coordenadas dos Polos'!$GP$2:$HC$2)))^2)</f>
        <v>2.7537580072462503E-6</v>
      </c>
      <c r="P41">
        <v>1</v>
      </c>
    </row>
    <row r="42" spans="1:16" x14ac:dyDescent="0.3">
      <c r="A42">
        <v>41</v>
      </c>
      <c r="B42">
        <f>EXP(((-1)/(2*'Cálculos Diversos'!$B$5))*(SQRT(SUMXMY2('Tabela Entrada-Saída'!$B$42:$O$42,'Coordenadas dos Polos'!$P$2:$AC$2)))^2)</f>
        <v>0.11782738810018921</v>
      </c>
      <c r="C42">
        <f>EXP(((-1)/(2*'Cálculos Diversos'!$B$5))*(SQRT(SUMXMY2('Tabela Entrada-Saída'!$B$42:$O$42,'Coordenadas dos Polos'!$AD$2:$AQ$2)))^2)</f>
        <v>8.1769237800724231E-5</v>
      </c>
      <c r="D42">
        <f>EXP(((-1)/(2*'Cálculos Diversos'!$B$5))*(SQRT(SUMXMY2('Tabela Entrada-Saída'!$B$42:$O$42,'Coordenadas dos Polos'!$AR$2:$BE$2)))^2)</f>
        <v>2.6941822767938027E-5</v>
      </c>
      <c r="E42">
        <f>EXP(((-1)/(2*'Cálculos Diversos'!$B$5))*(SQRT(SUMXMY2('Tabela Entrada-Saída'!$B$42:$O$42,'Coordenadas dos Polos'!$BF$2:$BS$2)))^2)</f>
        <v>1.1916585160994854E-4</v>
      </c>
      <c r="F42">
        <f>EXP(((-1)/(2*'Cálculos Diversos'!$B$5))*(SQRT(SUMXMY2('Tabela Entrada-Saída'!$B$42:$O$42,'Coordenadas dos Polos'!$BT$2:$CG$2)))^2)</f>
        <v>3.1792732141860921E-6</v>
      </c>
      <c r="G42">
        <f>EXP(((-1)/(2*'Cálculos Diversos'!$B$5))*(SQRT(SUMXMY2('Tabela Entrada-Saída'!$B$42:$O$42,'Coordenadas dos Polos'!$CH$2:$CU$2)))^2)</f>
        <v>1.2794030008904847E-4</v>
      </c>
      <c r="H42">
        <f>EXP(((-1)/(2*'Cálculos Diversos'!$B$5))*(SQRT(SUMXMY2('Tabela Entrada-Saída'!$B$42:$O$42,'Coordenadas dos Polos'!$CV$2:$DI$2)))^2)</f>
        <v>6.1030548553952056E-6</v>
      </c>
      <c r="I42">
        <f>EXP(((-1)/(2*'Cálculos Diversos'!$B$5))*(SQRT(SUMXMY2('Tabela Entrada-Saída'!$B$42:$O$42,'Coordenadas dos Polos'!$DJ$2:$DW$2)))^2)</f>
        <v>2.5359809729552353E-4</v>
      </c>
      <c r="J42">
        <f>EXP(((-1)/(2*'Cálculos Diversos'!$B$5))*(SQRT(SUMXMY2('Tabela Entrada-Saída'!$B$42:$O$42,'Coordenadas dos Polos'!$DX$2:$EK$2)))^2)</f>
        <v>1.0550326926623845E-4</v>
      </c>
      <c r="K42">
        <f>EXP(((-1)/(2*'Cálculos Diversos'!$B$5))*(SQRT(SUMXMY2('Tabela Entrada-Saída'!$B$42:$O$42,'Coordenadas dos Polos'!$EL$2:$EY$2)))^2)</f>
        <v>4.2611213957218707E-6</v>
      </c>
      <c r="L42">
        <f>EXP(((-1)/(2*'Cálculos Diversos'!$B$5))*(SQRT(SUMXMY2('Tabela Entrada-Saída'!$B$42:$O$42,'Coordenadas dos Polos'!$EZ$2:$FM$2)))^2)</f>
        <v>7.5391056710335972E-7</v>
      </c>
      <c r="M42">
        <f>EXP(((-1)/(2*'Cálculos Diversos'!$B$5))*(SQRT(SUMXMY2('Tabela Entrada-Saída'!$B$42:$O$42,'Coordenadas dos Polos'!$FN$2:$GA$2)))^2)</f>
        <v>1.4923111904347304E-5</v>
      </c>
      <c r="N42">
        <f>EXP(((-1)/(2*'Cálculos Diversos'!$B$5))*(SQRT(SUMXMY2('Tabela Entrada-Saída'!$B$42:$O$42,'Coordenadas dos Polos'!$GB$2:$GO$2)))^2)</f>
        <v>3.6449435753169506E-5</v>
      </c>
      <c r="O42">
        <f>EXP(((-1)/(2*'Cálculos Diversos'!$B$5))*(SQRT(SUMXMY2('Tabela Entrada-Saída'!$B$42:$O$42,'Coordenadas dos Polos'!$GP$2:$HC$2)))^2)</f>
        <v>2.9388270685409005E-6</v>
      </c>
      <c r="P42">
        <v>1</v>
      </c>
    </row>
    <row r="43" spans="1:16" x14ac:dyDescent="0.3">
      <c r="A43">
        <v>42</v>
      </c>
      <c r="B43">
        <f>EXP(((-1)/(2*'Cálculos Diversos'!$B$5))*(SQRT(SUMXMY2('Tabela Entrada-Saída'!$B$43:$O$43,'Coordenadas dos Polos'!$P$2:$AC$2)))^2)</f>
        <v>9.9659583622348405E-2</v>
      </c>
      <c r="C43">
        <f>EXP(((-1)/(2*'Cálculos Diversos'!$B$5))*(SQRT(SUMXMY2('Tabela Entrada-Saída'!$B$43:$O$43,'Coordenadas dos Polos'!$AD$2:$AQ$2)))^2)</f>
        <v>7.7825650260011331E-5</v>
      </c>
      <c r="D43">
        <f>EXP(((-1)/(2*'Cálculos Diversos'!$B$5))*(SQRT(SUMXMY2('Tabela Entrada-Saída'!$B$43:$O$43,'Coordenadas dos Polos'!$AR$2:$BE$2)))^2)</f>
        <v>2.7236723142839505E-5</v>
      </c>
      <c r="E43">
        <f>EXP(((-1)/(2*'Cálculos Diversos'!$B$5))*(SQRT(SUMXMY2('Tabela Entrada-Saída'!$B$43:$O$43,'Coordenadas dos Polos'!$BF$2:$BS$2)))^2)</f>
        <v>1.0586296509326885E-4</v>
      </c>
      <c r="F43">
        <f>EXP(((-1)/(2*'Cálculos Diversos'!$B$5))*(SQRT(SUMXMY2('Tabela Entrada-Saída'!$B$43:$O$43,'Coordenadas dos Polos'!$BT$2:$CG$2)))^2)</f>
        <v>2.7292252506738037E-6</v>
      </c>
      <c r="G43">
        <f>EXP(((-1)/(2*'Cálculos Diversos'!$B$5))*(SQRT(SUMXMY2('Tabela Entrada-Saída'!$B$43:$O$43,'Coordenadas dos Polos'!$CH$2:$CU$2)))^2)</f>
        <v>1.2741062873869503E-4</v>
      </c>
      <c r="H43">
        <f>EXP(((-1)/(2*'Cálculos Diversos'!$B$5))*(SQRT(SUMXMY2('Tabela Entrada-Saída'!$B$43:$O$43,'Coordenadas dos Polos'!$CV$2:$DI$2)))^2)</f>
        <v>6.013267731064574E-6</v>
      </c>
      <c r="I43">
        <f>EXP(((-1)/(2*'Cálculos Diversos'!$B$5))*(SQRT(SUMXMY2('Tabela Entrada-Saída'!$B$43:$O$43,'Coordenadas dos Polos'!$DJ$2:$DW$2)))^2)</f>
        <v>2.6456296102979381E-4</v>
      </c>
      <c r="J43">
        <f>EXP(((-1)/(2*'Cálculos Diversos'!$B$5))*(SQRT(SUMXMY2('Tabela Entrada-Saída'!$B$43:$O$43,'Coordenadas dos Polos'!$DX$2:$EK$2)))^2)</f>
        <v>1.0306521131677222E-4</v>
      </c>
      <c r="K43">
        <f>EXP(((-1)/(2*'Cálculos Diversos'!$B$5))*(SQRT(SUMXMY2('Tabela Entrada-Saída'!$B$43:$O$43,'Coordenadas dos Polos'!$EL$2:$EY$2)))^2)</f>
        <v>4.2944936514594934E-6</v>
      </c>
      <c r="L43">
        <f>EXP(((-1)/(2*'Cálculos Diversos'!$B$5))*(SQRT(SUMXMY2('Tabela Entrada-Saída'!$B$43:$O$43,'Coordenadas dos Polos'!$EZ$2:$FM$2)))^2)</f>
        <v>6.6183774990166963E-7</v>
      </c>
      <c r="M43">
        <f>EXP(((-1)/(2*'Cálculos Diversos'!$B$5))*(SQRT(SUMXMY2('Tabela Entrada-Saída'!$B$43:$O$43,'Coordenadas dos Polos'!$FN$2:$GA$2)))^2)</f>
        <v>1.3243427892939377E-5</v>
      </c>
      <c r="N43">
        <f>EXP(((-1)/(2*'Cálculos Diversos'!$B$5))*(SQRT(SUMXMY2('Tabela Entrada-Saída'!$B$43:$O$43,'Coordenadas dos Polos'!$GB$2:$GO$2)))^2)</f>
        <v>3.2645096586885039E-5</v>
      </c>
      <c r="O43">
        <f>EXP(((-1)/(2*'Cálculos Diversos'!$B$5))*(SQRT(SUMXMY2('Tabela Entrada-Saída'!$B$43:$O$43,'Coordenadas dos Polos'!$GP$2:$HC$2)))^2)</f>
        <v>2.6777021637745673E-6</v>
      </c>
      <c r="P43">
        <v>1</v>
      </c>
    </row>
    <row r="44" spans="1:16" x14ac:dyDescent="0.3">
      <c r="A44">
        <v>43</v>
      </c>
      <c r="B44">
        <f>EXP(((-1)/(2*'Cálculos Diversos'!$B$5))*(SQRT(SUMXMY2('Tabela Entrada-Saída'!$B$44:$O$44,'Coordenadas dos Polos'!$P$2:$AC$2)))^2)</f>
        <v>0.10503727210078734</v>
      </c>
      <c r="C44">
        <f>EXP(((-1)/(2*'Cálculos Diversos'!$B$5))*(SQRT(SUMXMY2('Tabela Entrada-Saída'!$B$44:$O$44,'Coordenadas dos Polos'!$AD$2:$AQ$2)))^2)</f>
        <v>7.9163130731270523E-5</v>
      </c>
      <c r="D44">
        <f>EXP(((-1)/(2*'Cálculos Diversos'!$B$5))*(SQRT(SUMXMY2('Tabela Entrada-Saída'!$B$44:$O$44,'Coordenadas dos Polos'!$AR$2:$BE$2)))^2)</f>
        <v>2.7193893462272288E-5</v>
      </c>
      <c r="E44">
        <f>EXP(((-1)/(2*'Cálculos Diversos'!$B$5))*(SQRT(SUMXMY2('Tabela Entrada-Saída'!$B$44:$O$44,'Coordenadas dos Polos'!$BF$2:$BS$2)))^2)</f>
        <v>1.0994924541199674E-4</v>
      </c>
      <c r="F44">
        <f>EXP(((-1)/(2*'Cálculos Diversos'!$B$5))*(SQRT(SUMXMY2('Tabela Entrada-Saída'!$B$44:$O$44,'Coordenadas dos Polos'!$BT$2:$CG$2)))^2)</f>
        <v>2.8650515487276448E-6</v>
      </c>
      <c r="G44">
        <f>EXP(((-1)/(2*'Cálculos Diversos'!$B$5))*(SQRT(SUMXMY2('Tabela Entrada-Saída'!$B$44:$O$44,'Coordenadas dos Polos'!$CH$2:$CU$2)))^2)</f>
        <v>1.2775161083408601E-4</v>
      </c>
      <c r="H44">
        <f>EXP(((-1)/(2*'Cálculos Diversos'!$B$5))*(SQRT(SUMXMY2('Tabela Entrada-Saída'!$B$44:$O$44,'Coordenadas dos Polos'!$CV$2:$DI$2)))^2)</f>
        <v>6.0542493123820455E-6</v>
      </c>
      <c r="I44">
        <f>EXP(((-1)/(2*'Cálculos Diversos'!$B$5))*(SQRT(SUMXMY2('Tabela Entrada-Saída'!$B$44:$O$44,'Coordenadas dos Polos'!$DJ$2:$DW$2)))^2)</f>
        <v>2.6152111366762042E-4</v>
      </c>
      <c r="J44">
        <f>EXP(((-1)/(2*'Cálculos Diversos'!$B$5))*(SQRT(SUMXMY2('Tabela Entrada-Saída'!$B$44:$O$44,'Coordenadas dos Polos'!$DX$2:$EK$2)))^2)</f>
        <v>1.0399587987087527E-4</v>
      </c>
      <c r="K44">
        <f>EXP(((-1)/(2*'Cálculos Diversos'!$B$5))*(SQRT(SUMXMY2('Tabela Entrada-Saída'!$B$44:$O$44,'Coordenadas dos Polos'!$EL$2:$EY$2)))^2)</f>
        <v>4.2915950504428121E-6</v>
      </c>
      <c r="L44">
        <f>EXP(((-1)/(2*'Cálculos Diversos'!$B$5))*(SQRT(SUMXMY2('Tabela Entrada-Saída'!$B$44:$O$44,'Coordenadas dos Polos'!$EZ$2:$FM$2)))^2)</f>
        <v>6.9016372168620752E-7</v>
      </c>
      <c r="M44">
        <f>EXP(((-1)/(2*'Cálculos Diversos'!$B$5))*(SQRT(SUMXMY2('Tabela Entrada-Saída'!$B$44:$O$44,'Coordenadas dos Polos'!$FN$2:$GA$2)))^2)</f>
        <v>1.3762383412725361E-5</v>
      </c>
      <c r="N44">
        <f>EXP(((-1)/(2*'Cálculos Diversos'!$B$5))*(SQRT(SUMXMY2('Tabela Entrada-Saída'!$B$44:$O$44,'Coordenadas dos Polos'!$GB$2:$GO$2)))^2)</f>
        <v>3.3840346040833237E-5</v>
      </c>
      <c r="O44">
        <f>EXP(((-1)/(2*'Cálculos Diversos'!$B$5))*(SQRT(SUMXMY2('Tabela Entrada-Saída'!$B$44:$O$44,'Coordenadas dos Polos'!$GP$2:$HC$2)))^2)</f>
        <v>2.7590707082406141E-6</v>
      </c>
      <c r="P44">
        <v>1</v>
      </c>
    </row>
    <row r="45" spans="1:16" x14ac:dyDescent="0.3">
      <c r="A45">
        <v>44</v>
      </c>
      <c r="B45">
        <f>EXP(((-1)/(2*'Cálculos Diversos'!$B$5))*(SQRT(SUMXMY2('Tabela Entrada-Saída'!$B$45:$O$45,'Coordenadas dos Polos'!$P$2:$AC$2)))^2)</f>
        <v>7.9106810201393971E-2</v>
      </c>
      <c r="C45">
        <f>EXP(((-1)/(2*'Cálculos Diversos'!$B$5))*(SQRT(SUMXMY2('Tabela Entrada-Saída'!$B$45:$O$45,'Coordenadas dos Polos'!$AD$2:$AQ$2)))^2)</f>
        <v>7.1997359743191435E-5</v>
      </c>
      <c r="D45">
        <f>EXP(((-1)/(2*'Cálculos Diversos'!$B$5))*(SQRT(SUMXMY2('Tabela Entrada-Saída'!$B$45:$O$45,'Coordenadas dos Polos'!$AR$2:$BE$2)))^2)</f>
        <v>2.7247097107457338E-5</v>
      </c>
      <c r="E45">
        <f>EXP(((-1)/(2*'Cálculos Diversos'!$B$5))*(SQRT(SUMXMY2('Tabela Entrada-Saída'!$B$45:$O$45,'Coordenadas dos Polos'!$BF$2:$BS$2)))^2)</f>
        <v>8.9519882293924411E-5</v>
      </c>
      <c r="F45">
        <f>EXP(((-1)/(2*'Cálculos Diversos'!$B$5))*(SQRT(SUMXMY2('Tabela Entrada-Saída'!$B$45:$O$45,'Coordenadas dos Polos'!$BT$2:$CG$2)))^2)</f>
        <v>2.2071633461523084E-6</v>
      </c>
      <c r="G45">
        <f>EXP(((-1)/(2*'Cálculos Diversos'!$B$5))*(SQRT(SUMXMY2('Tabela Entrada-Saída'!$B$45:$O$45,'Coordenadas dos Polos'!$CH$2:$CU$2)))^2)</f>
        <v>1.2497722783821414E-4</v>
      </c>
      <c r="H45">
        <f>EXP(((-1)/(2*'Cálculos Diversos'!$B$5))*(SQRT(SUMXMY2('Tabela Entrada-Saída'!$B$45:$O$45,'Coordenadas dos Polos'!$CV$2:$DI$2)))^2)</f>
        <v>5.8211037589392235E-6</v>
      </c>
      <c r="I45">
        <f>EXP(((-1)/(2*'Cálculos Diversos'!$B$5))*(SQRT(SUMXMY2('Tabela Entrada-Saída'!$B$45:$O$45,'Coordenadas dos Polos'!$DJ$2:$DW$2)))^2)</f>
        <v>2.7560785667892645E-4</v>
      </c>
      <c r="J45">
        <f>EXP(((-1)/(2*'Cálculos Diversos'!$B$5))*(SQRT(SUMXMY2('Tabela Entrada-Saída'!$B$45:$O$45,'Coordenadas dos Polos'!$DX$2:$EK$2)))^2)</f>
        <v>9.8623583913107706E-5</v>
      </c>
      <c r="K45">
        <f>EXP(((-1)/(2*'Cálculos Diversos'!$B$5))*(SQRT(SUMXMY2('Tabela Entrada-Saída'!$B$45:$O$45,'Coordenadas dos Polos'!$EL$2:$EY$2)))^2)</f>
        <v>4.2797825849521426E-6</v>
      </c>
      <c r="L45">
        <f>EXP(((-1)/(2*'Cálculos Diversos'!$B$5))*(SQRT(SUMXMY2('Tabela Entrada-Saída'!$B$45:$O$45,'Coordenadas dos Polos'!$EZ$2:$FM$2)))^2)</f>
        <v>5.510608362264275E-7</v>
      </c>
      <c r="M45">
        <f>EXP(((-1)/(2*'Cálculos Diversos'!$B$5))*(SQRT(SUMXMY2('Tabela Entrada-Saída'!$B$45:$O$45,'Coordenadas dos Polos'!$FN$2:$GA$2)))^2)</f>
        <v>1.1184491269754288E-5</v>
      </c>
      <c r="N45">
        <f>EXP(((-1)/(2*'Cálculos Diversos'!$B$5))*(SQRT(SUMXMY2('Tabela Entrada-Saída'!$B$45:$O$45,'Coordenadas dos Polos'!$GB$2:$GO$2)))^2)</f>
        <v>2.7918453263742941E-5</v>
      </c>
      <c r="O45">
        <f>EXP(((-1)/(2*'Cálculos Diversos'!$B$5))*(SQRT(SUMXMY2('Tabela Entrada-Saída'!$B$45:$O$45,'Coordenadas dos Polos'!$GP$2:$HC$2)))^2)</f>
        <v>2.3398691056680018E-6</v>
      </c>
      <c r="P45">
        <v>1</v>
      </c>
    </row>
    <row r="46" spans="1:16" x14ac:dyDescent="0.3">
      <c r="A46">
        <v>45</v>
      </c>
      <c r="B46">
        <f>EXP(((-1)/(2*'Cálculos Diversos'!$B$5))*(SQRT(SUMXMY2('Tabela Entrada-Saída'!$B$46:$O$46,'Coordenadas dos Polos'!$P$2:$AC$2)))^2)</f>
        <v>8.4613613249590866E-2</v>
      </c>
      <c r="C46">
        <f>EXP(((-1)/(2*'Cálculos Diversos'!$B$5))*(SQRT(SUMXMY2('Tabela Entrada-Saída'!$B$46:$O$46,'Coordenadas dos Polos'!$AD$2:$AQ$2)))^2)</f>
        <v>7.3747702589839888E-5</v>
      </c>
      <c r="D46">
        <f>EXP(((-1)/(2*'Cálculos Diversos'!$B$5))*(SQRT(SUMXMY2('Tabela Entrada-Saída'!$B$46:$O$46,'Coordenadas dos Polos'!$AR$2:$BE$2)))^2)</f>
        <v>2.7292492235069286E-5</v>
      </c>
      <c r="E46">
        <f>EXP(((-1)/(2*'Cálculos Diversos'!$B$5))*(SQRT(SUMXMY2('Tabela Entrada-Saída'!$B$46:$O$46,'Coordenadas dos Polos'!$BF$2:$BS$2)))^2)</f>
        <v>9.4042396915037762E-5</v>
      </c>
      <c r="F46">
        <f>EXP(((-1)/(2*'Cálculos Diversos'!$B$5))*(SQRT(SUMXMY2('Tabela Entrada-Saída'!$B$46:$O$46,'Coordenadas dos Polos'!$BT$2:$CG$2)))^2)</f>
        <v>2.3483062026452835E-6</v>
      </c>
      <c r="G46">
        <f>EXP(((-1)/(2*'Cálculos Diversos'!$B$5))*(SQRT(SUMXMY2('Tabela Entrada-Saída'!$B$46:$O$46,'Coordenadas dos Polos'!$CH$2:$CU$2)))^2)</f>
        <v>1.2586422625110392E-4</v>
      </c>
      <c r="H46">
        <f>EXP(((-1)/(2*'Cálculos Diversos'!$B$5))*(SQRT(SUMXMY2('Tabela Entrada-Saída'!$B$46:$O$46,'Coordenadas dos Polos'!$CV$2:$DI$2)))^2)</f>
        <v>5.8882201044824826E-6</v>
      </c>
      <c r="I46">
        <f>EXP(((-1)/(2*'Cálculos Diversos'!$B$5))*(SQRT(SUMXMY2('Tabela Entrada-Saída'!$B$46:$O$46,'Coordenadas dos Polos'!$DJ$2:$DW$2)))^2)</f>
        <v>2.7282983495261907E-4</v>
      </c>
      <c r="J46">
        <f>EXP(((-1)/(2*'Cálculos Diversos'!$B$5))*(SQRT(SUMXMY2('Tabela Entrada-Saída'!$B$46:$O$46,'Coordenadas dos Polos'!$DX$2:$EK$2)))^2)</f>
        <v>1.0004727307427653E-4</v>
      </c>
      <c r="K46">
        <f>EXP(((-1)/(2*'Cálculos Diversos'!$B$5))*(SQRT(SUMXMY2('Tabela Entrada-Saída'!$B$46:$O$46,'Coordenadas dos Polos'!$EL$2:$EY$2)))^2)</f>
        <v>4.2919284014138234E-6</v>
      </c>
      <c r="L46">
        <f>EXP(((-1)/(2*'Cálculos Diversos'!$B$5))*(SQRT(SUMXMY2('Tabela Entrada-Saída'!$B$46:$O$46,'Coordenadas dos Polos'!$EZ$2:$FM$2)))^2)</f>
        <v>5.8153183246856965E-7</v>
      </c>
      <c r="M46">
        <f>EXP(((-1)/(2*'Cálculos Diversos'!$B$5))*(SQRT(SUMXMY2('Tabela Entrada-Saída'!$B$46:$O$46,'Coordenadas dos Polos'!$FN$2:$GA$2)))^2)</f>
        <v>1.1755394872420147E-5</v>
      </c>
      <c r="N46">
        <f>EXP(((-1)/(2*'Cálculos Diversos'!$B$5))*(SQRT(SUMXMY2('Tabela Entrada-Saída'!$B$46:$O$46,'Coordenadas dos Polos'!$GB$2:$GO$2)))^2)</f>
        <v>2.9251588273359979E-5</v>
      </c>
      <c r="O46">
        <f>EXP(((-1)/(2*'Cálculos Diversos'!$B$5))*(SQRT(SUMXMY2('Tabela Entrada-Saída'!$B$46:$O$46,'Coordenadas dos Polos'!$GP$2:$HC$2)))^2)</f>
        <v>2.4350181457855003E-6</v>
      </c>
      <c r="P46">
        <v>1</v>
      </c>
    </row>
    <row r="47" spans="1:16" x14ac:dyDescent="0.3">
      <c r="A47">
        <v>46</v>
      </c>
      <c r="B47">
        <f>EXP(((-1)/(2*'Cálculos Diversos'!$B$5))*(SQRT(SUMXMY2('Tabela Entrada-Saída'!$B$47:$O$47,'Coordenadas dos Polos'!$P$2:$AC$2)))^2)</f>
        <v>7.8121281625019356E-2</v>
      </c>
      <c r="C47">
        <f>EXP(((-1)/(2*'Cálculos Diversos'!$B$5))*(SQRT(SUMXMY2('Tabela Entrada-Saída'!$B$47:$O$47,'Coordenadas dos Polos'!$AD$2:$AQ$2)))^2)</f>
        <v>7.1698045824960394E-5</v>
      </c>
      <c r="D47">
        <f>EXP(((-1)/(2*'Cálculos Diversos'!$B$5))*(SQRT(SUMXMY2('Tabela Entrada-Saída'!$B$47:$O$47,'Coordenadas dos Polos'!$AR$2:$BE$2)))^2)</f>
        <v>2.7246456336027695E-5</v>
      </c>
      <c r="E47">
        <f>EXP(((-1)/(2*'Cálculos Diversos'!$B$5))*(SQRT(SUMXMY2('Tabela Entrada-Saída'!$B$47:$O$47,'Coordenadas dos Polos'!$BF$2:$BS$2)))^2)</f>
        <v>8.87241038034636E-5</v>
      </c>
      <c r="F47">
        <f>EXP(((-1)/(2*'Cálculos Diversos'!$B$5))*(SQRT(SUMXMY2('Tabela Entrada-Saída'!$B$47:$O$47,'Coordenadas dos Polos'!$BT$2:$CG$2)))^2)</f>
        <v>2.1830438194294901E-6</v>
      </c>
      <c r="G47">
        <f>EXP(((-1)/(2*'Cálculos Diversos'!$B$5))*(SQRT(SUMXMY2('Tabela Entrada-Saída'!$B$47:$O$47,'Coordenadas dos Polos'!$CH$2:$CU$2)))^2)</f>
        <v>1.2484101437086528E-4</v>
      </c>
      <c r="H47">
        <f>EXP(((-1)/(2*'Cálculos Diversos'!$B$5))*(SQRT(SUMXMY2('Tabela Entrada-Saída'!$B$47:$O$47,'Coordenadas dos Polos'!$CV$2:$DI$2)))^2)</f>
        <v>5.8109290631352066E-6</v>
      </c>
      <c r="I47">
        <f>EXP(((-1)/(2*'Cálculos Diversos'!$B$5))*(SQRT(SUMXMY2('Tabela Entrada-Saída'!$B$47:$O$47,'Coordenadas dos Polos'!$DJ$2:$DW$2)))^2)</f>
        <v>2.7618664483489342E-4</v>
      </c>
      <c r="J47">
        <f>EXP(((-1)/(2*'Cálculos Diversos'!$B$5))*(SQRT(SUMXMY2('Tabela Entrada-Saída'!$B$47:$O$47,'Coordenadas dos Polos'!$DX$2:$EK$2)))^2)</f>
        <v>9.8405887824704573E-5</v>
      </c>
      <c r="K47">
        <f>EXP(((-1)/(2*'Cálculos Diversos'!$B$5))*(SQRT(SUMXMY2('Tabela Entrada-Saída'!$B$47:$O$47,'Coordenadas dos Polos'!$EL$2:$EY$2)))^2)</f>
        <v>4.2780977078165736E-6</v>
      </c>
      <c r="L47">
        <f>EXP(((-1)/(2*'Cálculos Diversos'!$B$5))*(SQRT(SUMXMY2('Tabela Entrada-Saída'!$B$47:$O$47,'Coordenadas dos Polos'!$EZ$2:$FM$2)))^2)</f>
        <v>5.458710770274491E-7</v>
      </c>
      <c r="M47">
        <f>EXP(((-1)/(2*'Cálculos Diversos'!$B$5))*(SQRT(SUMXMY2('Tabela Entrada-Saída'!$B$47:$O$47,'Coordenadas dos Polos'!$FN$2:$GA$2)))^2)</f>
        <v>1.1085319533090179E-5</v>
      </c>
      <c r="N47">
        <f>EXP(((-1)/(2*'Cálculos Diversos'!$B$5))*(SQRT(SUMXMY2('Tabela Entrada-Saída'!$B$47:$O$47,'Coordenadas dos Polos'!$GB$2:$GO$2)))^2)</f>
        <v>2.7687708423481313E-5</v>
      </c>
      <c r="O47">
        <f>EXP(((-1)/(2*'Cálculos Diversos'!$B$5))*(SQRT(SUMXMY2('Tabela Entrada-Saída'!$B$47:$O$47,'Coordenadas dos Polos'!$GP$2:$HC$2)))^2)</f>
        <v>2.3230819320110097E-6</v>
      </c>
      <c r="P47">
        <v>1</v>
      </c>
    </row>
    <row r="48" spans="1:16" x14ac:dyDescent="0.3">
      <c r="A48">
        <v>47</v>
      </c>
      <c r="B48">
        <f>EXP(((-1)/(2*'Cálculos Diversos'!$B$5))*(SQRT(SUMXMY2('Tabela Entrada-Saída'!$B$48:$O$48,'Coordenadas dos Polos'!$P$2:$AC$2)))^2)</f>
        <v>0.10331194626522307</v>
      </c>
      <c r="C48">
        <f>EXP(((-1)/(2*'Cálculos Diversos'!$B$5))*(SQRT(SUMXMY2('Tabela Entrada-Saída'!$B$48:$O$48,'Coordenadas dos Polos'!$AD$2:$AQ$2)))^2)</f>
        <v>7.8731515428118808E-5</v>
      </c>
      <c r="D48">
        <f>EXP(((-1)/(2*'Cálculos Diversos'!$B$5))*(SQRT(SUMXMY2('Tabela Entrada-Saída'!$B$48:$O$48,'Coordenadas dos Polos'!$AR$2:$BE$2)))^2)</f>
        <v>2.7205973583363578E-5</v>
      </c>
      <c r="E48">
        <f>EXP(((-1)/(2*'Cálculos Diversos'!$B$5))*(SQRT(SUMXMY2('Tabela Entrada-Saída'!$B$48:$O$48,'Coordenadas dos Polos'!$BF$2:$BS$2)))^2)</f>
        <v>1.0862894959919201E-4</v>
      </c>
      <c r="F48">
        <f>EXP(((-1)/(2*'Cálculos Diversos'!$B$5))*(SQRT(SUMXMY2('Tabela Entrada-Saída'!$B$48:$O$48,'Coordenadas dos Polos'!$BT$2:$CG$2)))^2)</f>
        <v>2.8209192496612988E-6</v>
      </c>
      <c r="G48">
        <f>EXP(((-1)/(2*'Cálculos Diversos'!$B$5))*(SQRT(SUMXMY2('Tabela Entrada-Saída'!$B$48:$O$48,'Coordenadas dos Polos'!$CH$2:$CU$2)))^2)</f>
        <v>1.2762793421366013E-4</v>
      </c>
      <c r="H48">
        <f>EXP(((-1)/(2*'Cálculos Diversos'!$B$5))*(SQRT(SUMXMY2('Tabela Entrada-Saída'!$B$48:$O$48,'Coordenadas dos Polos'!$CV$2:$DI$2)))^2)</f>
        <v>6.0409934006031553E-6</v>
      </c>
      <c r="I48">
        <f>EXP(((-1)/(2*'Cálculos Diversos'!$B$5))*(SQRT(SUMXMY2('Tabela Entrada-Saída'!$B$48:$O$48,'Coordenadas dos Polos'!$DJ$2:$DW$2)))^2)</f>
        <v>2.6246048312069081E-4</v>
      </c>
      <c r="J48">
        <f>EXP(((-1)/(2*'Cálculos Diversos'!$B$5))*(SQRT(SUMXMY2('Tabela Entrada-Saída'!$B$48:$O$48,'Coordenadas dos Polos'!$DX$2:$EK$2)))^2)</f>
        <v>1.03690882859249E-4</v>
      </c>
      <c r="K48">
        <f>EXP(((-1)/(2*'Cálculos Diversos'!$B$5))*(SQRT(SUMXMY2('Tabela Entrada-Saída'!$B$48:$O$48,'Coordenadas dos Polos'!$EL$2:$EY$2)))^2)</f>
        <v>4.2923241549005236E-6</v>
      </c>
      <c r="L48">
        <f>EXP(((-1)/(2*'Cálculos Diversos'!$B$5))*(SQRT(SUMXMY2('Tabela Entrada-Saída'!$B$48:$O$48,'Coordenadas dos Polos'!$EZ$2:$FM$2)))^2)</f>
        <v>6.8095517934333153E-7</v>
      </c>
      <c r="M48">
        <f>EXP(((-1)/(2*'Cálculos Diversos'!$B$5))*(SQRT(SUMXMY2('Tabela Entrada-Saída'!$B$48:$O$48,'Coordenadas dos Polos'!$FN$2:$GA$2)))^2)</f>
        <v>1.3594648168306322E-5</v>
      </c>
      <c r="N48">
        <f>EXP(((-1)/(2*'Cálculos Diversos'!$B$5))*(SQRT(SUMXMY2('Tabela Entrada-Saída'!$B$48:$O$48,'Coordenadas dos Polos'!$GB$2:$GO$2)))^2)</f>
        <v>3.3455281375133029E-5</v>
      </c>
      <c r="O48">
        <f>EXP(((-1)/(2*'Cálculos Diversos'!$B$5))*(SQRT(SUMXMY2('Tabela Entrada-Saída'!$B$48:$O$48,'Coordenadas dos Polos'!$GP$2:$HC$2)))^2)</f>
        <v>2.7327067774772557E-6</v>
      </c>
      <c r="P48">
        <v>1</v>
      </c>
    </row>
    <row r="49" spans="1:16" x14ac:dyDescent="0.3">
      <c r="A49">
        <v>48</v>
      </c>
      <c r="B49">
        <f>EXP(((-1)/(2*'Cálculos Diversos'!$B$5))*(SQRT(SUMXMY2('Tabela Entrada-Saída'!$B$49:$O$49,'Coordenadas dos Polos'!$P$2:$AC$2)))^2)</f>
        <v>8.7695147194710332E-2</v>
      </c>
      <c r="C49">
        <f>EXP(((-1)/(2*'Cálculos Diversos'!$B$5))*(SQRT(SUMXMY2('Tabela Entrada-Saída'!$B$49:$O$49,'Coordenadas dos Polos'!$AD$2:$AQ$2)))^2)</f>
        <v>7.4611085420160631E-5</v>
      </c>
      <c r="D49">
        <f>EXP(((-1)/(2*'Cálculos Diversos'!$B$5))*(SQRT(SUMXMY2('Tabela Entrada-Saída'!$B$49:$O$49,'Coordenadas dos Polos'!$AR$2:$BE$2)))^2)</f>
        <v>2.7289657180050751E-5</v>
      </c>
      <c r="E49">
        <f>EXP(((-1)/(2*'Cálculos Diversos'!$B$5))*(SQRT(SUMXMY2('Tabela Entrada-Saída'!$B$49:$O$49,'Coordenadas dos Polos'!$BF$2:$BS$2)))^2)</f>
        <v>9.6533168253159742E-5</v>
      </c>
      <c r="F49">
        <f>EXP(((-1)/(2*'Cálculos Diversos'!$B$5))*(SQRT(SUMXMY2('Tabela Entrada-Saída'!$B$49:$O$49,'Coordenadas dos Polos'!$BT$2:$CG$2)))^2)</f>
        <v>2.4274898336576575E-6</v>
      </c>
      <c r="G49">
        <f>EXP(((-1)/(2*'Cálculos Diversos'!$B$5))*(SQRT(SUMXMY2('Tabela Entrada-Saída'!$B$49:$O$49,'Coordenadas dos Polos'!$CH$2:$CU$2)))^2)</f>
        <v>1.2627843166652779E-4</v>
      </c>
      <c r="H49">
        <f>EXP(((-1)/(2*'Cálculos Diversos'!$B$5))*(SQRT(SUMXMY2('Tabela Entrada-Saída'!$B$49:$O$49,'Coordenadas dos Polos'!$CV$2:$DI$2)))^2)</f>
        <v>5.910920593102835E-6</v>
      </c>
      <c r="I49">
        <f>EXP(((-1)/(2*'Cálculos Diversos'!$B$5))*(SQRT(SUMXMY2('Tabela Entrada-Saída'!$B$49:$O$49,'Coordenadas dos Polos'!$DJ$2:$DW$2)))^2)</f>
        <v>2.7128642953679966E-4</v>
      </c>
      <c r="J49">
        <f>EXP(((-1)/(2*'Cálculos Diversos'!$B$5))*(SQRT(SUMXMY2('Tabela Entrada-Saída'!$B$49:$O$49,'Coordenadas dos Polos'!$DX$2:$EK$2)))^2)</f>
        <v>1.0071616100437521E-4</v>
      </c>
      <c r="K49">
        <f>EXP(((-1)/(2*'Cálculos Diversos'!$B$5))*(SQRT(SUMXMY2('Tabela Entrada-Saída'!$B$49:$O$49,'Coordenadas dos Polos'!$EL$2:$EY$2)))^2)</f>
        <v>4.2925272969680611E-6</v>
      </c>
      <c r="L49">
        <f>EXP(((-1)/(2*'Cálculos Diversos'!$B$5))*(SQRT(SUMXMY2('Tabela Entrada-Saída'!$B$49:$O$49,'Coordenadas dos Polos'!$EZ$2:$FM$2)))^2)</f>
        <v>5.98246643811704E-7</v>
      </c>
      <c r="M49">
        <f>EXP(((-1)/(2*'Cálculos Diversos'!$B$5))*(SQRT(SUMXMY2('Tabela Entrada-Saída'!$B$49:$O$49,'Coordenadas dos Polos'!$FN$2:$GA$2)))^2)</f>
        <v>1.2066185298635379E-5</v>
      </c>
      <c r="N49">
        <f>EXP(((-1)/(2*'Cálculos Diversos'!$B$5))*(SQRT(SUMXMY2('Tabela Entrada-Saída'!$B$49:$O$49,'Coordenadas dos Polos'!$GB$2:$GO$2)))^2)</f>
        <v>2.9933293333195403E-5</v>
      </c>
      <c r="O49">
        <f>EXP(((-1)/(2*'Cálculos Diversos'!$B$5))*(SQRT(SUMXMY2('Tabela Entrada-Saída'!$B$49:$O$49,'Coordenadas dos Polos'!$GP$2:$HC$2)))^2)</f>
        <v>2.4873382491591207E-6</v>
      </c>
      <c r="P49">
        <v>1</v>
      </c>
    </row>
    <row r="50" spans="1:16" x14ac:dyDescent="0.3">
      <c r="A50">
        <v>49</v>
      </c>
      <c r="B50">
        <f>EXP(((-1)/(2*'Cálculos Diversos'!$B$5))*(SQRT(SUMXMY2('Tabela Entrada-Saída'!$B$50:$O$50,'Coordenadas dos Polos'!$P$2:$AC$2)))^2)</f>
        <v>0.10407599473225786</v>
      </c>
      <c r="C50">
        <f>EXP(((-1)/(2*'Cálculos Diversos'!$B$5))*(SQRT(SUMXMY2('Tabela Entrada-Saída'!$B$50:$O$50,'Coordenadas dos Polos'!$AD$2:$AQ$2)))^2)</f>
        <v>7.8960604294686193E-5</v>
      </c>
      <c r="D50">
        <f>EXP(((-1)/(2*'Cálculos Diversos'!$B$5))*(SQRT(SUMXMY2('Tabela Entrada-Saída'!$B$50:$O$50,'Coordenadas dos Polos'!$AR$2:$BE$2)))^2)</f>
        <v>2.721100627339443E-5</v>
      </c>
      <c r="E50">
        <f>EXP(((-1)/(2*'Cálculos Diversos'!$B$5))*(SQRT(SUMXMY2('Tabela Entrada-Saída'!$B$50:$O$50,'Coordenadas dos Polos'!$BF$2:$BS$2)))^2)</f>
        <v>1.0922724890445284E-4</v>
      </c>
      <c r="F50">
        <f>EXP(((-1)/(2*'Cálculos Diversos'!$B$5))*(SQRT(SUMXMY2('Tabela Entrada-Saída'!$B$50:$O$50,'Coordenadas dos Polos'!$BT$2:$CG$2)))^2)</f>
        <v>2.8407484178050268E-6</v>
      </c>
      <c r="G50">
        <f>EXP(((-1)/(2*'Cálculos Diversos'!$B$5))*(SQRT(SUMXMY2('Tabela Entrada-Saída'!$B$50:$O$50,'Coordenadas dos Polos'!$CH$2:$CU$2)))^2)</f>
        <v>1.2770369409542329E-4</v>
      </c>
      <c r="H50">
        <f>EXP(((-1)/(2*'Cálculos Diversos'!$B$5))*(SQRT(SUMXMY2('Tabela Entrada-Saída'!$B$50:$O$50,'Coordenadas dos Polos'!$CV$2:$DI$2)))^2)</f>
        <v>6.0523175958548223E-6</v>
      </c>
      <c r="I50">
        <f>EXP(((-1)/(2*'Cálculos Diversos'!$B$5))*(SQRT(SUMXMY2('Tabela Entrada-Saída'!$B$50:$O$50,'Coordenadas dos Polos'!$DJ$2:$DW$2)))^2)</f>
        <v>2.6205442848704062E-4</v>
      </c>
      <c r="J50">
        <f>EXP(((-1)/(2*'Cálculos Diversos'!$B$5))*(SQRT(SUMXMY2('Tabela Entrada-Saída'!$B$50:$O$50,'Coordenadas dos Polos'!$DX$2:$EK$2)))^2)</f>
        <v>1.0387100018035299E-4</v>
      </c>
      <c r="K50">
        <f>EXP(((-1)/(2*'Cálculos Diversos'!$B$5))*(SQRT(SUMXMY2('Tabela Entrada-Saída'!$B$50:$O$50,'Coordenadas dos Polos'!$EL$2:$EY$2)))^2)</f>
        <v>4.2941517488123666E-6</v>
      </c>
      <c r="L50">
        <f>EXP(((-1)/(2*'Cálculos Diversos'!$B$5))*(SQRT(SUMXMY2('Tabela Entrada-Saída'!$B$50:$O$50,'Coordenadas dos Polos'!$EZ$2:$FM$2)))^2)</f>
        <v>6.8525522011531793E-7</v>
      </c>
      <c r="M50">
        <f>EXP(((-1)/(2*'Cálculos Diversos'!$B$5))*(SQRT(SUMXMY2('Tabela Entrada-Saída'!$B$50:$O$50,'Coordenadas dos Polos'!$FN$2:$GA$2)))^2)</f>
        <v>1.3672475435210388E-5</v>
      </c>
      <c r="N50">
        <f>EXP(((-1)/(2*'Cálculos Diversos'!$B$5))*(SQRT(SUMXMY2('Tabela Entrada-Saída'!$B$50:$O$50,'Coordenadas dos Polos'!$GB$2:$GO$2)))^2)</f>
        <v>3.3653112107200325E-5</v>
      </c>
      <c r="O50">
        <f>EXP(((-1)/(2*'Cálculos Diversos'!$B$5))*(SQRT(SUMXMY2('Tabela Entrada-Saída'!$B$50:$O$50,'Coordenadas dos Polos'!$GP$2:$HC$2)))^2)</f>
        <v>2.7445653805609261E-6</v>
      </c>
      <c r="P50">
        <v>1</v>
      </c>
    </row>
    <row r="51" spans="1:16" x14ac:dyDescent="0.3">
      <c r="A51">
        <v>50</v>
      </c>
      <c r="B51">
        <f>EXP(((-1)/(2*'Cálculos Diversos'!$B$5))*(SQRT(SUMXMY2('Tabela Entrada-Saída'!$B$51:$O$51,'Coordenadas dos Polos'!$P$2:$AC$2)))^2)</f>
        <v>8.1244946692371992E-2</v>
      </c>
      <c r="C51">
        <f>EXP(((-1)/(2*'Cálculos Diversos'!$B$5))*(SQRT(SUMXMY2('Tabela Entrada-Saída'!$B$51:$O$51,'Coordenadas dos Polos'!$AD$2:$AQ$2)))^2)</f>
        <v>7.2649389482804178E-5</v>
      </c>
      <c r="D51">
        <f>EXP(((-1)/(2*'Cálculos Diversos'!$B$5))*(SQRT(SUMXMY2('Tabela Entrada-Saída'!$B$51:$O$51,'Coordenadas dos Polos'!$AR$2:$BE$2)))^2)</f>
        <v>2.7259910359407718E-5</v>
      </c>
      <c r="E51">
        <f>EXP(((-1)/(2*'Cálculos Diversos'!$B$5))*(SQRT(SUMXMY2('Tabela Entrada-Saída'!$B$51:$O$51,'Coordenadas dos Polos'!$BF$2:$BS$2)))^2)</f>
        <v>9.1293047909668035E-5</v>
      </c>
      <c r="F51">
        <f>EXP(((-1)/(2*'Cálculos Diversos'!$B$5))*(SQRT(SUMXMY2('Tabela Entrada-Saída'!$B$51:$O$51,'Coordenadas dos Polos'!$BT$2:$CG$2)))^2)</f>
        <v>2.2623270330398419E-6</v>
      </c>
      <c r="G51">
        <f>EXP(((-1)/(2*'Cálculos Diversos'!$B$5))*(SQRT(SUMXMY2('Tabela Entrada-Saída'!$B$51:$O$51,'Coordenadas dos Polos'!$CH$2:$CU$2)))^2)</f>
        <v>1.2533547144784516E-4</v>
      </c>
      <c r="H51">
        <f>EXP(((-1)/(2*'Cálculos Diversos'!$B$5))*(SQRT(SUMXMY2('Tabela Entrada-Saída'!$B$51:$O$51,'Coordenadas dos Polos'!$CV$2:$DI$2)))^2)</f>
        <v>5.8405640970154263E-6</v>
      </c>
      <c r="I51">
        <f>EXP(((-1)/(2*'Cálculos Diversos'!$B$5))*(SQRT(SUMXMY2('Tabela Entrada-Saída'!$B$51:$O$51,'Coordenadas dos Polos'!$DJ$2:$DW$2)))^2)</f>
        <v>2.7462126441360338E-4</v>
      </c>
      <c r="J51">
        <f>EXP(((-1)/(2*'Cálculos Diversos'!$B$5))*(SQRT(SUMXMY2('Tabela Entrada-Saída'!$B$51:$O$51,'Coordenadas dos Polos'!$DX$2:$EK$2)))^2)</f>
        <v>9.9142236655132455E-5</v>
      </c>
      <c r="K51">
        <f>EXP(((-1)/(2*'Cálculos Diversos'!$B$5))*(SQRT(SUMXMY2('Tabela Entrada-Saída'!$B$51:$O$51,'Coordenadas dos Polos'!$EL$2:$EY$2)))^2)</f>
        <v>4.2825344312854672E-6</v>
      </c>
      <c r="L51">
        <f>EXP(((-1)/(2*'Cálculos Diversos'!$B$5))*(SQRT(SUMXMY2('Tabela Entrada-Saída'!$B$51:$O$51,'Coordenadas dos Polos'!$EZ$2:$FM$2)))^2)</f>
        <v>5.628491169504236E-7</v>
      </c>
      <c r="M51">
        <f>EXP(((-1)/(2*'Cálculos Diversos'!$B$5))*(SQRT(SUMXMY2('Tabela Entrada-Saída'!$B$51:$O$51,'Coordenadas dos Polos'!$FN$2:$GA$2)))^2)</f>
        <v>1.1405710152589318E-5</v>
      </c>
      <c r="N51">
        <f>EXP(((-1)/(2*'Cálculos Diversos'!$B$5))*(SQRT(SUMXMY2('Tabela Entrada-Saída'!$B$51:$O$51,'Coordenadas dos Polos'!$GB$2:$GO$2)))^2)</f>
        <v>2.8406564497709795E-5</v>
      </c>
      <c r="O51">
        <f>EXP(((-1)/(2*'Cálculos Diversos'!$B$5))*(SQRT(SUMXMY2('Tabela Entrada-Saída'!$B$51:$O$51,'Coordenadas dos Polos'!$GP$2:$HC$2)))^2)</f>
        <v>2.3776206508715402E-6</v>
      </c>
      <c r="P51">
        <v>1</v>
      </c>
    </row>
    <row r="52" spans="1:16" x14ac:dyDescent="0.3">
      <c r="A52">
        <v>51</v>
      </c>
      <c r="B52">
        <f>EXP(((-1)/(2*'Cálculos Diversos'!$B$5))*(SQRT(SUMXMY2('Tabela Entrada-Saída'!$B$52:$O$52,'Coordenadas dos Polos'!$P$2:$AC$2)))^2)</f>
        <v>0.1033588960392661</v>
      </c>
      <c r="C52">
        <f>EXP(((-1)/(2*'Cálculos Diversos'!$B$5))*(SQRT(SUMXMY2('Tabela Entrada-Saída'!$B$52:$O$52,'Coordenadas dos Polos'!$AD$2:$AQ$2)))^2)</f>
        <v>7.87347531803723E-5</v>
      </c>
      <c r="D52">
        <f>EXP(((-1)/(2*'Cálculos Diversos'!$B$5))*(SQRT(SUMXMY2('Tabela Entrada-Saída'!$B$52:$O$52,'Coordenadas dos Polos'!$AR$2:$BE$2)))^2)</f>
        <v>2.7199106266155284E-5</v>
      </c>
      <c r="E52">
        <f>EXP(((-1)/(2*'Cálculos Diversos'!$B$5))*(SQRT(SUMXMY2('Tabela Entrada-Saída'!$B$52:$O$52,'Coordenadas dos Polos'!$BF$2:$BS$2)))^2)</f>
        <v>1.0865418414691468E-4</v>
      </c>
      <c r="F52">
        <f>EXP(((-1)/(2*'Cálculos Diversos'!$B$5))*(SQRT(SUMXMY2('Tabela Entrada-Saída'!$B$52:$O$52,'Coordenadas dos Polos'!$BT$2:$CG$2)))^2)</f>
        <v>2.8222266650753943E-6</v>
      </c>
      <c r="G52">
        <f>EXP(((-1)/(2*'Cálculos Diversos'!$B$5))*(SQRT(SUMXMY2('Tabela Entrada-Saída'!$B$52:$O$52,'Coordenadas dos Polos'!$CH$2:$CU$2)))^2)</f>
        <v>1.2763928000581522E-4</v>
      </c>
      <c r="H52">
        <f>EXP(((-1)/(2*'Cálculos Diversos'!$B$5))*(SQRT(SUMXMY2('Tabela Entrada-Saída'!$B$52:$O$52,'Coordenadas dos Polos'!$CV$2:$DI$2)))^2)</f>
        <v>6.0404490144979774E-6</v>
      </c>
      <c r="I52">
        <f>EXP(((-1)/(2*'Cálculos Diversos'!$B$5))*(SQRT(SUMXMY2('Tabela Entrada-Saída'!$B$52:$O$52,'Coordenadas dos Polos'!$DJ$2:$DW$2)))^2)</f>
        <v>2.6237266987571499E-4</v>
      </c>
      <c r="J52">
        <f>EXP(((-1)/(2*'Cálculos Diversos'!$B$5))*(SQRT(SUMXMY2('Tabela Entrada-Saída'!$B$52:$O$52,'Coordenadas dos Polos'!$DX$2:$EK$2)))^2)</f>
        <v>1.0371334526091326E-4</v>
      </c>
      <c r="K52">
        <f>EXP(((-1)/(2*'Cálculos Diversos'!$B$5))*(SQRT(SUMXMY2('Tabela Entrada-Saída'!$B$52:$O$52,'Coordenadas dos Polos'!$EL$2:$EY$2)))^2)</f>
        <v>4.2914925342055678E-6</v>
      </c>
      <c r="L52">
        <f>EXP(((-1)/(2*'Cálculos Diversos'!$B$5))*(SQRT(SUMXMY2('Tabela Entrada-Saída'!$B$52:$O$52,'Coordenadas dos Polos'!$EZ$2:$FM$2)))^2)</f>
        <v>6.8117108909551047E-7</v>
      </c>
      <c r="M52">
        <f>EXP(((-1)/(2*'Cálculos Diversos'!$B$5))*(SQRT(SUMXMY2('Tabela Entrada-Saída'!$B$52:$O$52,'Coordenadas dos Polos'!$FN$2:$GA$2)))^2)</f>
        <v>1.3597499472097034E-5</v>
      </c>
      <c r="N52">
        <f>EXP(((-1)/(2*'Cálculos Diversos'!$B$5))*(SQRT(SUMXMY2('Tabela Entrada-Saída'!$B$52:$O$52,'Coordenadas dos Polos'!$GB$2:$GO$2)))^2)</f>
        <v>3.3464335460578075E-5</v>
      </c>
      <c r="O52">
        <f>EXP(((-1)/(2*'Cálculos Diversos'!$B$5))*(SQRT(SUMXMY2('Tabela Entrada-Saída'!$B$52:$O$52,'Coordenadas dos Polos'!$GP$2:$HC$2)))^2)</f>
        <v>2.7334463773270101E-6</v>
      </c>
      <c r="P52">
        <v>1</v>
      </c>
    </row>
    <row r="53" spans="1:16" x14ac:dyDescent="0.3">
      <c r="A53">
        <v>52</v>
      </c>
      <c r="B53">
        <f>EXP(((-1)/(2*'Cálculos Diversos'!$B$5))*(SQRT(SUMXMY2('Tabela Entrada-Saída'!$B$53:$O$53,'Coordenadas dos Polos'!$P$2:$AC$2)))^2)</f>
        <v>9.6925746059961237E-2</v>
      </c>
      <c r="C53">
        <f>EXP(((-1)/(2*'Cálculos Diversos'!$B$5))*(SQRT(SUMXMY2('Tabela Entrada-Saída'!$B$53:$O$53,'Coordenadas dos Polos'!$AD$2:$AQ$2)))^2)</f>
        <v>7.7123469136518383E-5</v>
      </c>
      <c r="D53">
        <f>EXP(((-1)/(2*'Cálculos Diversos'!$B$5))*(SQRT(SUMXMY2('Tabela Entrada-Saída'!$B$53:$O$53,'Coordenadas dos Polos'!$AR$2:$BE$2)))^2)</f>
        <v>2.7256833304504255E-5</v>
      </c>
      <c r="E53">
        <f>EXP(((-1)/(2*'Cálculos Diversos'!$B$5))*(SQRT(SUMXMY2('Tabela Entrada-Saída'!$B$53:$O$53,'Coordenadas dos Polos'!$BF$2:$BS$2)))^2)</f>
        <v>1.0375859542719188E-4</v>
      </c>
      <c r="F53">
        <f>EXP(((-1)/(2*'Cálculos Diversos'!$B$5))*(SQRT(SUMXMY2('Tabela Entrada-Saída'!$B$53:$O$53,'Coordenadas dos Polos'!$BT$2:$CG$2)))^2)</f>
        <v>2.6603501658748905E-6</v>
      </c>
      <c r="G53">
        <f>EXP(((-1)/(2*'Cálculos Diversos'!$B$5))*(SQRT(SUMXMY2('Tabela Entrada-Saída'!$B$53:$O$53,'Coordenadas dos Polos'!$CH$2:$CU$2)))^2)</f>
        <v>1.271887758097114E-4</v>
      </c>
      <c r="H53">
        <f>EXP(((-1)/(2*'Cálculos Diversos'!$B$5))*(SQRT(SUMXMY2('Tabela Entrada-Saída'!$B$53:$O$53,'Coordenadas dos Polos'!$CV$2:$DI$2)))^2)</f>
        <v>5.9918868589593645E-6</v>
      </c>
      <c r="I53">
        <f>EXP(((-1)/(2*'Cálculos Diversos'!$B$5))*(SQRT(SUMXMY2('Tabela Entrada-Saída'!$B$53:$O$53,'Coordenadas dos Polos'!$DJ$2:$DW$2)))^2)</f>
        <v>2.6612002377433754E-4</v>
      </c>
      <c r="J53">
        <f>EXP(((-1)/(2*'Cálculos Diversos'!$B$5))*(SQRT(SUMXMY2('Tabela Entrada-Saída'!$B$53:$O$53,'Coordenadas dos Polos'!$DX$2:$EK$2)))^2)</f>
        <v>1.0257015351491988E-4</v>
      </c>
      <c r="K53">
        <f>EXP(((-1)/(2*'Cálculos Diversos'!$B$5))*(SQRT(SUMXMY2('Tabela Entrada-Saída'!$B$53:$O$53,'Coordenadas dos Polos'!$EL$2:$EY$2)))^2)</f>
        <v>4.2951103396107913E-6</v>
      </c>
      <c r="L53">
        <f>EXP(((-1)/(2*'Cálculos Diversos'!$B$5))*(SQRT(SUMXMY2('Tabela Entrada-Saída'!$B$53:$O$53,'Coordenadas dos Polos'!$EZ$2:$FM$2)))^2)</f>
        <v>6.474088363765466E-7</v>
      </c>
      <c r="M53">
        <f>EXP(((-1)/(2*'Cálculos Diversos'!$B$5))*(SQRT(SUMXMY2('Tabela Entrada-Saída'!$B$53:$O$53,'Coordenadas dos Polos'!$FN$2:$GA$2)))^2)</f>
        <v>1.2977735081275071E-5</v>
      </c>
      <c r="N53">
        <f>EXP(((-1)/(2*'Cálculos Diversos'!$B$5))*(SQRT(SUMXMY2('Tabela Entrada-Saída'!$B$53:$O$53,'Coordenadas dos Polos'!$GB$2:$GO$2)))^2)</f>
        <v>3.2033168383265179E-5</v>
      </c>
      <c r="O53">
        <f>EXP(((-1)/(2*'Cálculos Diversos'!$B$5))*(SQRT(SUMXMY2('Tabela Entrada-Saída'!$B$53:$O$53,'Coordenadas dos Polos'!$GP$2:$HC$2)))^2)</f>
        <v>2.6351351145877664E-6</v>
      </c>
      <c r="P53">
        <v>1</v>
      </c>
    </row>
    <row r="54" spans="1:16" x14ac:dyDescent="0.3">
      <c r="A54">
        <v>53</v>
      </c>
      <c r="B54">
        <f>EXP(((-1)/(2*'Cálculos Diversos'!$B$5))*(SQRT(SUMXMY2('Tabela Entrada-Saída'!$B$54:$O$54,'Coordenadas dos Polos'!$P$2:$AC$2)))^2)</f>
        <v>8.2211372551030282E-2</v>
      </c>
      <c r="C54">
        <f>EXP(((-1)/(2*'Cálculos Diversos'!$B$5))*(SQRT(SUMXMY2('Tabela Entrada-Saída'!$B$54:$O$54,'Coordenadas dos Polos'!$AD$2:$AQ$2)))^2)</f>
        <v>7.2946093694340564E-5</v>
      </c>
      <c r="D54">
        <f>EXP(((-1)/(2*'Cálculos Diversos'!$B$5))*(SQRT(SUMXMY2('Tabela Entrada-Saída'!$B$54:$O$54,'Coordenadas dos Polos'!$AR$2:$BE$2)))^2)</f>
        <v>2.7263899287640821E-5</v>
      </c>
      <c r="E54">
        <f>EXP(((-1)/(2*'Cálculos Diversos'!$B$5))*(SQRT(SUMXMY2('Tabela Entrada-Saída'!$B$54:$O$54,'Coordenadas dos Polos'!$BF$2:$BS$2)))^2)</f>
        <v>9.2077127641103409E-5</v>
      </c>
      <c r="F54">
        <f>EXP(((-1)/(2*'Cálculos Diversos'!$B$5))*(SQRT(SUMXMY2('Tabela Entrada-Saída'!$B$54:$O$54,'Coordenadas dos Polos'!$BT$2:$CG$2)))^2)</f>
        <v>2.286467161538432E-6</v>
      </c>
      <c r="G54">
        <f>EXP(((-1)/(2*'Cálculos Diversos'!$B$5))*(SQRT(SUMXMY2('Tabela Entrada-Saída'!$B$54:$O$54,'Coordenadas dos Polos'!$CH$2:$CU$2)))^2)</f>
        <v>1.2547205361791589E-4</v>
      </c>
      <c r="H54">
        <f>EXP(((-1)/(2*'Cálculos Diversos'!$B$5))*(SQRT(SUMXMY2('Tabela Entrada-Saída'!$B$54:$O$54,'Coordenadas dos Polos'!$CV$2:$DI$2)))^2)</f>
        <v>5.8512446393293753E-6</v>
      </c>
      <c r="I54">
        <f>EXP(((-1)/(2*'Cálculos Diversos'!$B$5))*(SQRT(SUMXMY2('Tabela Entrada-Saída'!$B$54:$O$54,'Coordenadas dos Polos'!$DJ$2:$DW$2)))^2)</f>
        <v>2.741025417822146E-4</v>
      </c>
      <c r="J54">
        <f>EXP(((-1)/(2*'Cálculos Diversos'!$B$5))*(SQRT(SUMXMY2('Tabela Entrada-Saída'!$B$54:$O$54,'Coordenadas dos Polos'!$DX$2:$EK$2)))^2)</f>
        <v>9.9361983160123558E-5</v>
      </c>
      <c r="K54">
        <f>EXP(((-1)/(2*'Cálculos Diversos'!$B$5))*(SQRT(SUMXMY2('Tabela Entrada-Saída'!$B$54:$O$54,'Coordenadas dos Polos'!$EL$2:$EY$2)))^2)</f>
        <v>4.2843657878158533E-6</v>
      </c>
      <c r="L54">
        <f>EXP(((-1)/(2*'Cálculos Diversos'!$B$5))*(SQRT(SUMXMY2('Tabela Entrada-Saída'!$B$54:$O$54,'Coordenadas dos Polos'!$EZ$2:$FM$2)))^2)</f>
        <v>5.6803978717801839E-7</v>
      </c>
      <c r="M54">
        <f>EXP(((-1)/(2*'Cálculos Diversos'!$B$5))*(SQRT(SUMXMY2('Tabela Entrada-Saída'!$B$54:$O$54,'Coordenadas dos Polos'!$FN$2:$GA$2)))^2)</f>
        <v>1.1504179213154611E-5</v>
      </c>
      <c r="N54">
        <f>EXP(((-1)/(2*'Cálculos Diversos'!$B$5))*(SQRT(SUMXMY2('Tabela Entrada-Saída'!$B$54:$O$54,'Coordenadas dos Polos'!$GB$2:$GO$2)))^2)</f>
        <v>2.863496957250852E-5</v>
      </c>
      <c r="O54">
        <f>EXP(((-1)/(2*'Cálculos Diversos'!$B$5))*(SQRT(SUMXMY2('Tabela Entrada-Saída'!$B$54:$O$54,'Coordenadas dos Polos'!$GP$2:$HC$2)))^2)</f>
        <v>2.3940229512965105E-6</v>
      </c>
      <c r="P54">
        <v>1</v>
      </c>
    </row>
    <row r="55" spans="1:16" x14ac:dyDescent="0.3">
      <c r="A55">
        <v>54</v>
      </c>
      <c r="B55">
        <f>EXP(((-1)/(2*'Cálculos Diversos'!$B$5))*(SQRT(SUMXMY2('Tabela Entrada-Saída'!$B$55:$O$55,'Coordenadas dos Polos'!$P$2:$AC$2)))^2)</f>
        <v>0.10156631889347759</v>
      </c>
      <c r="C55">
        <f>EXP(((-1)/(2*'Cálculos Diversos'!$B$5))*(SQRT(SUMXMY2('Tabela Entrada-Saída'!$B$55:$O$55,'Coordenadas dos Polos'!$AD$2:$AQ$2)))^2)</f>
        <v>7.8355332398577865E-5</v>
      </c>
      <c r="D55">
        <f>EXP(((-1)/(2*'Cálculos Diversos'!$B$5))*(SQRT(SUMXMY2('Tabela Entrada-Saída'!$B$55:$O$55,'Coordenadas dos Polos'!$AR$2:$BE$2)))^2)</f>
        <v>2.7236706826500699E-5</v>
      </c>
      <c r="E55">
        <f>EXP(((-1)/(2*'Cálculos Diversos'!$B$5))*(SQRT(SUMXMY2('Tabela Entrada-Saída'!$B$55:$O$55,'Coordenadas dos Polos'!$BF$2:$BS$2)))^2)</f>
        <v>1.0733418142596751E-4</v>
      </c>
      <c r="F55">
        <f>EXP(((-1)/(2*'Cálculos Diversos'!$B$5))*(SQRT(SUMXMY2('Tabela Entrada-Saída'!$B$55:$O$55,'Coordenadas dos Polos'!$BT$2:$CG$2)))^2)</f>
        <v>2.7782121403719063E-6</v>
      </c>
      <c r="G55">
        <f>EXP(((-1)/(2*'Cálculos Diversos'!$B$5))*(SQRT(SUMXMY2('Tabela Entrada-Saída'!$B$55:$O$55,'Coordenadas dos Polos'!$CH$2:$CU$2)))^2)</f>
        <v>1.2756926051465562E-4</v>
      </c>
      <c r="H55">
        <f>EXP(((-1)/(2*'Cálculos Diversos'!$B$5))*(SQRT(SUMXMY2('Tabela Entrada-Saída'!$B$55:$O$55,'Coordenadas dos Polos'!$CV$2:$DI$2)))^2)</f>
        <v>6.0352107404411532E-6</v>
      </c>
      <c r="I55">
        <f>EXP(((-1)/(2*'Cálculos Diversos'!$B$5))*(SQRT(SUMXMY2('Tabela Entrada-Saída'!$B$55:$O$55,'Coordenadas dos Polos'!$DJ$2:$DW$2)))^2)</f>
        <v>2.6350283195449638E-4</v>
      </c>
      <c r="J55">
        <f>EXP(((-1)/(2*'Cálculos Diversos'!$B$5))*(SQRT(SUMXMY2('Tabela Entrada-Saída'!$B$55:$O$55,'Coordenadas dos Polos'!$DX$2:$EK$2)))^2)</f>
        <v>1.0348130417438171E-4</v>
      </c>
      <c r="K55">
        <f>EXP(((-1)/(2*'Cálculos Diversos'!$B$5))*(SQRT(SUMXMY2('Tabela Entrada-Saída'!$B$55:$O$55,'Coordenadas dos Polos'!$EL$2:$EY$2)))^2)</f>
        <v>4.2960766562341752E-6</v>
      </c>
      <c r="L55">
        <f>EXP(((-1)/(2*'Cálculos Diversos'!$B$5))*(SQRT(SUMXMY2('Tabela Entrada-Saída'!$B$55:$O$55,'Coordenadas dos Polos'!$EZ$2:$FM$2)))^2)</f>
        <v>6.7225252513860101E-7</v>
      </c>
      <c r="M55">
        <f>EXP(((-1)/(2*'Cálculos Diversos'!$B$5))*(SQRT(SUMXMY2('Tabela Entrada-Saída'!$B$55:$O$55,'Coordenadas dos Polos'!$FN$2:$GA$2)))^2)</f>
        <v>1.3433002891546874E-5</v>
      </c>
      <c r="N55">
        <f>EXP(((-1)/(2*'Cálculos Diversos'!$B$5))*(SQRT(SUMXMY2('Tabela Entrada-Saída'!$B$55:$O$55,'Coordenadas dos Polos'!$GB$2:$GO$2)))^2)</f>
        <v>3.310496354500904E-5</v>
      </c>
      <c r="O55">
        <f>EXP(((-1)/(2*'Cálculos Diversos'!$B$5))*(SQRT(SUMXMY2('Tabela Entrada-Saída'!$B$55:$O$55,'Coordenadas dos Polos'!$GP$2:$HC$2)))^2)</f>
        <v>2.7069823334245226E-6</v>
      </c>
      <c r="P55">
        <v>1</v>
      </c>
    </row>
    <row r="56" spans="1:16" x14ac:dyDescent="0.3">
      <c r="A56">
        <v>55</v>
      </c>
      <c r="B56">
        <f>EXP(((-1)/(2*'Cálculos Diversos'!$B$5))*(SQRT(SUMXMY2('Tabela Entrada-Saída'!$B$56:$O$56,'Coordenadas dos Polos'!$P$2:$AC$2)))^2)</f>
        <v>8.4455092907218726E-2</v>
      </c>
      <c r="C56">
        <f>EXP(((-1)/(2*'Cálculos Diversos'!$B$5))*(SQRT(SUMXMY2('Tabela Entrada-Saída'!$B$56:$O$56,'Coordenadas dos Polos'!$AD$2:$AQ$2)))^2)</f>
        <v>7.3696809720864286E-5</v>
      </c>
      <c r="D56">
        <f>EXP(((-1)/(2*'Cálculos Diversos'!$B$5))*(SQRT(SUMXMY2('Tabela Entrada-Saída'!$B$56:$O$56,'Coordenadas dos Polos'!$AR$2:$BE$2)))^2)</f>
        <v>2.7293160198608842E-5</v>
      </c>
      <c r="E56">
        <f>EXP(((-1)/(2*'Cálculos Diversos'!$B$5))*(SQRT(SUMXMY2('Tabela Entrada-Saída'!$B$56:$O$56,'Coordenadas dos Polos'!$BF$2:$BS$2)))^2)</f>
        <v>9.3929207248089568E-5</v>
      </c>
      <c r="F56">
        <f>EXP(((-1)/(2*'Cálculos Diversos'!$B$5))*(SQRT(SUMXMY2('Tabela Entrada-Saída'!$B$56:$O$56,'Coordenadas dos Polos'!$BT$2:$CG$2)))^2)</f>
        <v>2.3451209628289825E-6</v>
      </c>
      <c r="G56">
        <f>EXP(((-1)/(2*'Cálculos Diversos'!$B$5))*(SQRT(SUMXMY2('Tabela Entrada-Saída'!$B$56:$O$56,'Coordenadas dos Polos'!$CH$2:$CU$2)))^2)</f>
        <v>1.2586296055273565E-4</v>
      </c>
      <c r="H56">
        <f>EXP(((-1)/(2*'Cálculos Diversos'!$B$5))*(SQRT(SUMXMY2('Tabela Entrada-Saída'!$B$56:$O$56,'Coordenadas dos Polos'!$CV$2:$DI$2)))^2)</f>
        <v>5.8847824576965247E-6</v>
      </c>
      <c r="I56">
        <f>EXP(((-1)/(2*'Cálculos Diversos'!$B$5))*(SQRT(SUMXMY2('Tabela Entrada-Saída'!$B$56:$O$56,'Coordenadas dos Polos'!$DJ$2:$DW$2)))^2)</f>
        <v>2.7297778143989916E-4</v>
      </c>
      <c r="J56">
        <f>EXP(((-1)/(2*'Cálculos Diversos'!$B$5))*(SQRT(SUMXMY2('Tabela Entrada-Saída'!$B$56:$O$56,'Coordenadas dos Polos'!$DX$2:$EK$2)))^2)</f>
        <v>1.0002685713096441E-4</v>
      </c>
      <c r="K56">
        <f>EXP(((-1)/(2*'Cálculos Diversos'!$B$5))*(SQRT(SUMXMY2('Tabela Entrada-Saída'!$B$56:$O$56,'Coordenadas dos Polos'!$EL$2:$EY$2)))^2)</f>
        <v>4.2911023907663428E-6</v>
      </c>
      <c r="L56">
        <f>EXP(((-1)/(2*'Cálculos Diversos'!$B$5))*(SQRT(SUMXMY2('Tabela Entrada-Saída'!$B$56:$O$56,'Coordenadas dos Polos'!$EZ$2:$FM$2)))^2)</f>
        <v>5.8081358070236823E-7</v>
      </c>
      <c r="M56">
        <f>EXP(((-1)/(2*'Cálculos Diversos'!$B$5))*(SQRT(SUMXMY2('Tabela Entrada-Saída'!$B$56:$O$56,'Coordenadas dos Polos'!$FN$2:$GA$2)))^2)</f>
        <v>1.174067183390077E-5</v>
      </c>
      <c r="N56">
        <f>EXP(((-1)/(2*'Cálculos Diversos'!$B$5))*(SQRT(SUMXMY2('Tabela Entrada-Saída'!$B$56:$O$56,'Coordenadas dos Polos'!$GB$2:$GO$2)))^2)</f>
        <v>2.9206725096447086E-5</v>
      </c>
      <c r="O56">
        <f>EXP(((-1)/(2*'Cálculos Diversos'!$B$5))*(SQRT(SUMXMY2('Tabela Entrada-Saída'!$B$56:$O$56,'Coordenadas dos Polos'!$GP$2:$HC$2)))^2)</f>
        <v>2.4328843069427871E-6</v>
      </c>
      <c r="P56">
        <v>1</v>
      </c>
    </row>
    <row r="57" spans="1:16" x14ac:dyDescent="0.3">
      <c r="A57">
        <v>56</v>
      </c>
      <c r="B57">
        <f>EXP(((-1)/(2*'Cálculos Diversos'!$B$5))*(SQRT(SUMXMY2('Tabela Entrada-Saída'!$B$57:$O$57,'Coordenadas dos Polos'!$P$2:$AC$2)))^2)</f>
        <v>8.2614099050967574E-2</v>
      </c>
      <c r="C57">
        <f>EXP(((-1)/(2*'Cálculos Diversos'!$B$5))*(SQRT(SUMXMY2('Tabela Entrada-Saída'!$B$57:$O$57,'Coordenadas dos Polos'!$AD$2:$AQ$2)))^2)</f>
        <v>7.3135235150322632E-5</v>
      </c>
      <c r="D57">
        <f>EXP(((-1)/(2*'Cálculos Diversos'!$B$5))*(SQRT(SUMXMY2('Tabela Entrada-Saída'!$B$57:$O$57,'Coordenadas dos Polos'!$AR$2:$BE$2)))^2)</f>
        <v>2.7284750277214636E-5</v>
      </c>
      <c r="E57">
        <f>EXP(((-1)/(2*'Cálculos Diversos'!$B$5))*(SQRT(SUMXMY2('Tabela Entrada-Saída'!$B$57:$O$57,'Coordenadas dos Polos'!$BF$2:$BS$2)))^2)</f>
        <v>9.242675921218017E-5</v>
      </c>
      <c r="F57">
        <f>EXP(((-1)/(2*'Cálculos Diversos'!$B$5))*(SQRT(SUMXMY2('Tabela Entrada-Saída'!$B$57:$O$57,'Coordenadas dos Polos'!$BT$2:$CG$2)))^2)</f>
        <v>2.2975184896176777E-6</v>
      </c>
      <c r="G57">
        <f>EXP(((-1)/(2*'Cálculos Diversos'!$B$5))*(SQRT(SUMXMY2('Tabela Entrada-Saída'!$B$57:$O$57,'Coordenadas dos Polos'!$CH$2:$CU$2)))^2)</f>
        <v>1.2557628648323085E-4</v>
      </c>
      <c r="H57">
        <f>EXP(((-1)/(2*'Cálculos Diversos'!$B$5))*(SQRT(SUMXMY2('Tabela Entrada-Saída'!$B$57:$O$57,'Coordenadas dos Polos'!$CV$2:$DI$2)))^2)</f>
        <v>5.8652265797654765E-6</v>
      </c>
      <c r="I57">
        <f>EXP(((-1)/(2*'Cálculos Diversos'!$B$5))*(SQRT(SUMXMY2('Tabela Entrada-Saída'!$B$57:$O$57,'Coordenadas dos Polos'!$DJ$2:$DW$2)))^2)</f>
        <v>2.73923446017208E-4</v>
      </c>
      <c r="J57">
        <f>EXP(((-1)/(2*'Cálculos Diversos'!$B$5))*(SQRT(SUMXMY2('Tabela Entrada-Saída'!$B$57:$O$57,'Coordenadas dos Polos'!$DX$2:$EK$2)))^2)</f>
        <v>9.9553573718587666E-5</v>
      </c>
      <c r="K57">
        <f>EXP(((-1)/(2*'Cálculos Diversos'!$B$5))*(SQRT(SUMXMY2('Tabela Entrada-Saída'!$B$57:$O$57,'Coordenadas dos Polos'!$EL$2:$EY$2)))^2)</f>
        <v>4.2886173658128273E-6</v>
      </c>
      <c r="L57">
        <f>EXP(((-1)/(2*'Cálculos Diversos'!$B$5))*(SQRT(SUMXMY2('Tabela Entrada-Saída'!$B$57:$O$57,'Coordenadas dos Polos'!$EZ$2:$FM$2)))^2)</f>
        <v>5.7062187460188693E-7</v>
      </c>
      <c r="M57">
        <f>EXP(((-1)/(2*'Cálculos Diversos'!$B$5))*(SQRT(SUMXMY2('Tabela Entrada-Saída'!$B$57:$O$57,'Coordenadas dos Polos'!$FN$2:$GA$2)))^2)</f>
        <v>1.1551513611813012E-5</v>
      </c>
      <c r="N57">
        <f>EXP(((-1)/(2*'Cálculos Diversos'!$B$5))*(SQRT(SUMXMY2('Tabela Entrada-Saída'!$B$57:$O$57,'Coordenadas dos Polos'!$GB$2:$GO$2)))^2)</f>
        <v>2.8771811112028738E-5</v>
      </c>
      <c r="O57">
        <f>EXP(((-1)/(2*'Cálculos Diversos'!$B$5))*(SQRT(SUMXMY2('Tabela Entrada-Saída'!$B$57:$O$57,'Coordenadas dos Polos'!$GP$2:$HC$2)))^2)</f>
        <v>2.4011941127779576E-6</v>
      </c>
      <c r="P57">
        <v>1</v>
      </c>
    </row>
    <row r="58" spans="1:16" x14ac:dyDescent="0.3">
      <c r="A58">
        <v>57</v>
      </c>
      <c r="B58">
        <f>EXP(((-1)/(2*'Cálculos Diversos'!$B$5))*(SQRT(SUMXMY2('Tabela Entrada-Saída'!$B$58:$O$58,'Coordenadas dos Polos'!$P$2:$AC$2)))^2)</f>
        <v>8.2789698443591284E-2</v>
      </c>
      <c r="C58">
        <f>EXP(((-1)/(2*'Cálculos Diversos'!$B$5))*(SQRT(SUMXMY2('Tabela Entrada-Saída'!$B$58:$O$58,'Coordenadas dos Polos'!$AD$2:$AQ$2)))^2)</f>
        <v>7.3185038538342112E-5</v>
      </c>
      <c r="D58">
        <f>EXP(((-1)/(2*'Cálculos Diversos'!$B$5))*(SQRT(SUMXMY2('Tabela Entrada-Saída'!$B$58:$O$58,'Coordenadas dos Polos'!$AR$2:$BE$2)))^2)</f>
        <v>2.7283885051132564E-5</v>
      </c>
      <c r="E58">
        <f>EXP(((-1)/(2*'Cálculos Diversos'!$B$5))*(SQRT(SUMXMY2('Tabela Entrada-Saída'!$B$58:$O$58,'Coordenadas dos Polos'!$BF$2:$BS$2)))^2)</f>
        <v>9.2569823037957029E-5</v>
      </c>
      <c r="F58">
        <f>EXP(((-1)/(2*'Cálculos Diversos'!$B$5))*(SQRT(SUMXMY2('Tabela Entrada-Saída'!$B$58:$O$58,'Coordenadas dos Polos'!$BT$2:$CG$2)))^2)</f>
        <v>2.3023104518422941E-6</v>
      </c>
      <c r="G58">
        <f>EXP(((-1)/(2*'Cálculos Diversos'!$B$5))*(SQRT(SUMXMY2('Tabela Entrada-Saída'!$B$58:$O$58,'Coordenadas dos Polos'!$CH$2:$CU$2)))^2)</f>
        <v>1.2561005280192227E-4</v>
      </c>
      <c r="H58">
        <f>EXP(((-1)/(2*'Cálculos Diversos'!$B$5))*(SQRT(SUMXMY2('Tabela Entrada-Saída'!$B$58:$O$58,'Coordenadas dos Polos'!$CV$2:$DI$2)))^2)</f>
        <v>5.8664621409953899E-6</v>
      </c>
      <c r="I58">
        <f>EXP(((-1)/(2*'Cálculos Diversos'!$B$5))*(SQRT(SUMXMY2('Tabela Entrada-Saída'!$B$58:$O$58,'Coordenadas dos Polos'!$DJ$2:$DW$2)))^2)</f>
        <v>2.738235529218154E-4</v>
      </c>
      <c r="J58">
        <f>EXP(((-1)/(2*'Cálculos Diversos'!$B$5))*(SQRT(SUMXMY2('Tabela Entrada-Saída'!$B$58:$O$58,'Coordenadas dos Polos'!$DX$2:$EK$2)))^2)</f>
        <v>9.9609954990773026E-5</v>
      </c>
      <c r="K58">
        <f>EXP(((-1)/(2*'Cálculos Diversos'!$B$5))*(SQRT(SUMXMY2('Tabela Entrada-Saída'!$B$58:$O$58,'Coordenadas dos Polos'!$EL$2:$EY$2)))^2)</f>
        <v>4.2884140868925262E-6</v>
      </c>
      <c r="L58">
        <f>EXP(((-1)/(2*'Cálculos Diversos'!$B$5))*(SQRT(SUMXMY2('Tabela Entrada-Saída'!$B$58:$O$58,'Coordenadas dos Polos'!$EZ$2:$FM$2)))^2)</f>
        <v>5.7162885221609177E-7</v>
      </c>
      <c r="M58">
        <f>EXP(((-1)/(2*'Cálculos Diversos'!$B$5))*(SQRT(SUMXMY2('Tabela Entrada-Saída'!$B$58:$O$58,'Coordenadas dos Polos'!$FN$2:$GA$2)))^2)</f>
        <v>1.156931489323549E-5</v>
      </c>
      <c r="N58">
        <f>EXP(((-1)/(2*'Cálculos Diversos'!$B$5))*(SQRT(SUMXMY2('Tabela Entrada-Saída'!$B$58:$O$58,'Coordenadas dos Polos'!$GB$2:$GO$2)))^2)</f>
        <v>2.8811758767273143E-5</v>
      </c>
      <c r="O58">
        <f>EXP(((-1)/(2*'Cálculos Diversos'!$B$5))*(SQRT(SUMXMY2('Tabela Entrada-Saída'!$B$58:$O$58,'Coordenadas dos Polos'!$GP$2:$HC$2)))^2)</f>
        <v>2.4043476117469836E-6</v>
      </c>
      <c r="P58">
        <v>1</v>
      </c>
    </row>
    <row r="59" spans="1:16" x14ac:dyDescent="0.3">
      <c r="A59">
        <v>58</v>
      </c>
      <c r="B59">
        <f>EXP(((-1)/(2*'Cálculos Diversos'!$B$5))*(SQRT(SUMXMY2('Tabela Entrada-Saída'!$B$59:$O$59,'Coordenadas dos Polos'!$P$2:$AC$2)))^2)</f>
        <v>9.1731441330132946E-2</v>
      </c>
      <c r="C59">
        <f>EXP(((-1)/(2*'Cálculos Diversos'!$B$5))*(SQRT(SUMXMY2('Tabela Entrada-Saída'!$B$59:$O$59,'Coordenadas dos Polos'!$AD$2:$AQ$2)))^2)</f>
        <v>7.5801934676993112E-5</v>
      </c>
      <c r="D59">
        <f>EXP(((-1)/(2*'Cálculos Diversos'!$B$5))*(SQRT(SUMXMY2('Tabela Entrada-Saída'!$B$59:$O$59,'Coordenadas dos Polos'!$AR$2:$BE$2)))^2)</f>
        <v>2.7298098167496296E-5</v>
      </c>
      <c r="E59">
        <f>EXP(((-1)/(2*'Cálculos Diversos'!$B$5))*(SQRT(SUMXMY2('Tabela Entrada-Saída'!$B$59:$O$59,'Coordenadas dos Polos'!$BF$2:$BS$2)))^2)</f>
        <v>9.9738186449387436E-5</v>
      </c>
      <c r="F59">
        <f>EXP(((-1)/(2*'Cálculos Diversos'!$B$5))*(SQRT(SUMXMY2('Tabela Entrada-Saída'!$B$59:$O$59,'Coordenadas dos Polos'!$BT$2:$CG$2)))^2)</f>
        <v>2.5298670309792279E-6</v>
      </c>
      <c r="G59">
        <f>EXP(((-1)/(2*'Cálculos Diversos'!$B$5))*(SQRT(SUMXMY2('Tabela Entrada-Saída'!$B$59:$O$59,'Coordenadas dos Polos'!$CH$2:$CU$2)))^2)</f>
        <v>1.2675579466256038E-4</v>
      </c>
      <c r="H59">
        <f>EXP(((-1)/(2*'Cálculos Diversos'!$B$5))*(SQRT(SUMXMY2('Tabela Entrada-Saída'!$B$59:$O$59,'Coordenadas dos Polos'!$CV$2:$DI$2)))^2)</f>
        <v>5.957247426407113E-6</v>
      </c>
      <c r="I59">
        <f>EXP(((-1)/(2*'Cálculos Diversos'!$B$5))*(SQRT(SUMXMY2('Tabela Entrada-Saída'!$B$59:$O$59,'Coordenadas dos Polos'!$DJ$2:$DW$2)))^2)</f>
        <v>2.690521639830237E-4</v>
      </c>
      <c r="J59">
        <f>EXP(((-1)/(2*'Cálculos Diversos'!$B$5))*(SQRT(SUMXMY2('Tabela Entrada-Saída'!$B$59:$O$59,'Coordenadas dos Polos'!$DX$2:$EK$2)))^2)</f>
        <v>1.0164209532746889E-4</v>
      </c>
      <c r="K59">
        <f>EXP(((-1)/(2*'Cálculos Diversos'!$B$5))*(SQRT(SUMXMY2('Tabela Entrada-Saída'!$B$59:$O$59,'Coordenadas dos Polos'!$EL$2:$EY$2)))^2)</f>
        <v>4.2982686792501513E-6</v>
      </c>
      <c r="L59">
        <f>EXP(((-1)/(2*'Cálculos Diversos'!$B$5))*(SQRT(SUMXMY2('Tabela Entrada-Saída'!$B$59:$O$59,'Coordenadas dos Polos'!$EZ$2:$FM$2)))^2)</f>
        <v>6.2016588920768606E-7</v>
      </c>
      <c r="M59">
        <f>EXP(((-1)/(2*'Cálculos Diversos'!$B$5))*(SQRT(SUMXMY2('Tabela Entrada-Saída'!$B$59:$O$59,'Coordenadas dos Polos'!$FN$2:$GA$2)))^2)</f>
        <v>1.2473244046618774E-5</v>
      </c>
      <c r="N59">
        <f>EXP(((-1)/(2*'Cálculos Diversos'!$B$5))*(SQRT(SUMXMY2('Tabela Entrada-Saída'!$B$59:$O$59,'Coordenadas dos Polos'!$GB$2:$GO$2)))^2)</f>
        <v>3.0901658059252666E-5</v>
      </c>
      <c r="O59">
        <f>EXP(((-1)/(2*'Cálculos Diversos'!$B$5))*(SQRT(SUMXMY2('Tabela Entrada-Saída'!$B$59:$O$59,'Coordenadas dos Polos'!$GP$2:$HC$2)))^2)</f>
        <v>2.5531464587901432E-6</v>
      </c>
      <c r="P59">
        <v>1</v>
      </c>
    </row>
    <row r="60" spans="1:16" x14ac:dyDescent="0.3">
      <c r="A60">
        <v>59</v>
      </c>
      <c r="B60">
        <f>EXP(((-1)/(2*'Cálculos Diversos'!$B$5))*(SQRT(SUMXMY2('Tabela Entrada-Saída'!$B$60:$O$60,'Coordenadas dos Polos'!$P$2:$AC$2)))^2)</f>
        <v>9.2367137576388716E-2</v>
      </c>
      <c r="C60">
        <f>EXP(((-1)/(2*'Cálculos Diversos'!$B$5))*(SQRT(SUMXMY2('Tabela Entrada-Saída'!$B$60:$O$60,'Coordenadas dos Polos'!$AD$2:$AQ$2)))^2)</f>
        <v>7.5921276551838566E-5</v>
      </c>
      <c r="D60">
        <f>EXP(((-1)/(2*'Cálculos Diversos'!$B$5))*(SQRT(SUMXMY2('Tabela Entrada-Saída'!$B$60:$O$60,'Coordenadas dos Polos'!$AR$2:$BE$2)))^2)</f>
        <v>2.7281914742782926E-5</v>
      </c>
      <c r="E60">
        <f>EXP(((-1)/(2*'Cálculos Diversos'!$B$5))*(SQRT(SUMXMY2('Tabela Entrada-Saída'!$B$60:$O$60,'Coordenadas dos Polos'!$BF$2:$BS$2)))^2)</f>
        <v>1.0021757463856486E-4</v>
      </c>
      <c r="F60">
        <f>EXP(((-1)/(2*'Cálculos Diversos'!$B$5))*(SQRT(SUMXMY2('Tabela Entrada-Saída'!$B$60:$O$60,'Coordenadas dos Polos'!$BT$2:$CG$2)))^2)</f>
        <v>2.5450285700250415E-6</v>
      </c>
      <c r="G60">
        <f>EXP(((-1)/(2*'Cálculos Diversos'!$B$5))*(SQRT(SUMXMY2('Tabela Entrada-Saída'!$B$60:$O$60,'Coordenadas dos Polos'!$CH$2:$CU$2)))^2)</f>
        <v>1.2677662298150505E-4</v>
      </c>
      <c r="H60">
        <f>EXP(((-1)/(2*'Cálculos Diversos'!$B$5))*(SQRT(SUMXMY2('Tabela Entrada-Saída'!$B$60:$O$60,'Coordenadas dos Polos'!$CV$2:$DI$2)))^2)</f>
        <v>5.9551598378042282E-6</v>
      </c>
      <c r="I60">
        <f>EXP(((-1)/(2*'Cálculos Diversos'!$B$5))*(SQRT(SUMXMY2('Tabela Entrada-Saída'!$B$60:$O$60,'Coordenadas dos Polos'!$DJ$2:$DW$2)))^2)</f>
        <v>2.6868326525116682E-4</v>
      </c>
      <c r="J60">
        <f>EXP(((-1)/(2*'Cálculos Diversos'!$B$5))*(SQRT(SUMXMY2('Tabela Entrada-Saída'!$B$60:$O$60,'Coordenadas dos Polos'!$DX$2:$EK$2)))^2)</f>
        <v>1.0168437810664298E-4</v>
      </c>
      <c r="K60">
        <f>EXP(((-1)/(2*'Cálculos Diversos'!$B$5))*(SQRT(SUMXMY2('Tabela Entrada-Saída'!$B$60:$O$60,'Coordenadas dos Polos'!$EL$2:$EY$2)))^2)</f>
        <v>4.295747121451546E-6</v>
      </c>
      <c r="L60">
        <f>EXP(((-1)/(2*'Cálculos Diversos'!$B$5))*(SQRT(SUMXMY2('Tabela Entrada-Saída'!$B$60:$O$60,'Coordenadas dos Polos'!$EZ$2:$FM$2)))^2)</f>
        <v>6.2319465671900679E-7</v>
      </c>
      <c r="M60">
        <f>EXP(((-1)/(2*'Cálculos Diversos'!$B$5))*(SQRT(SUMXMY2('Tabela Entrada-Saída'!$B$60:$O$60,'Coordenadas dos Polos'!$FN$2:$GA$2)))^2)</f>
        <v>1.2530871465492048E-5</v>
      </c>
      <c r="N60">
        <f>EXP(((-1)/(2*'Cálculos Diversos'!$B$5))*(SQRT(SUMXMY2('Tabela Entrada-Saída'!$B$60:$O$60,'Coordenadas dos Polos'!$GB$2:$GO$2)))^2)</f>
        <v>3.1010144375976116E-5</v>
      </c>
      <c r="O60">
        <f>EXP(((-1)/(2*'Cálculos Diversos'!$B$5))*(SQRT(SUMXMY2('Tabela Entrada-Saída'!$B$60:$O$60,'Coordenadas dos Polos'!$GP$2:$HC$2)))^2)</f>
        <v>2.563006220020516E-6</v>
      </c>
      <c r="P60">
        <v>1</v>
      </c>
    </row>
    <row r="61" spans="1:16" x14ac:dyDescent="0.3">
      <c r="A61">
        <v>60</v>
      </c>
      <c r="B61">
        <f>EXP(((-1)/(2*'Cálculos Diversos'!$B$5))*(SQRT(SUMXMY2('Tabela Entrada-Saída'!$B$61:$O$61,'Coordenadas dos Polos'!$P$2:$AC$2)))^2)</f>
        <v>9.2367137576388716E-2</v>
      </c>
      <c r="C61">
        <f>EXP(((-1)/(2*'Cálculos Diversos'!$B$5))*(SQRT(SUMXMY2('Tabela Entrada-Saída'!$B$61:$O$61,'Coordenadas dos Polos'!$AD$2:$AQ$2)))^2)</f>
        <v>7.5921276551838566E-5</v>
      </c>
      <c r="D61">
        <f>EXP(((-1)/(2*'Cálculos Diversos'!$B$5))*(SQRT(SUMXMY2('Tabela Entrada-Saída'!$B$61:$O$61,'Coordenadas dos Polos'!$AR$2:$BE$2)))^2)</f>
        <v>2.7281914742782926E-5</v>
      </c>
      <c r="E61">
        <f>EXP(((-1)/(2*'Cálculos Diversos'!$B$5))*(SQRT(SUMXMY2('Tabela Entrada-Saída'!$B$61:$O$61,'Coordenadas dos Polos'!$BF$2:$BS$2)))^2)</f>
        <v>1.0021757463856486E-4</v>
      </c>
      <c r="F61">
        <f>EXP(((-1)/(2*'Cálculos Diversos'!$B$5))*(SQRT(SUMXMY2('Tabela Entrada-Saída'!$B$61:$O$61,'Coordenadas dos Polos'!$BT$2:$CG$2)))^2)</f>
        <v>2.5450285700250415E-6</v>
      </c>
      <c r="G61">
        <f>EXP(((-1)/(2*'Cálculos Diversos'!$B$5))*(SQRT(SUMXMY2('Tabela Entrada-Saída'!$B$61:$O$61,'Coordenadas dos Polos'!$CH$2:$CU$2)))^2)</f>
        <v>1.2677662298150505E-4</v>
      </c>
      <c r="H61">
        <f>EXP(((-1)/(2*'Cálculos Diversos'!$B$5))*(SQRT(SUMXMY2('Tabela Entrada-Saída'!$B$61:$O$61,'Coordenadas dos Polos'!$CV$2:$DI$2)))^2)</f>
        <v>5.9551598378042282E-6</v>
      </c>
      <c r="I61">
        <f>EXP(((-1)/(2*'Cálculos Diversos'!$B$5))*(SQRT(SUMXMY2('Tabela Entrada-Saída'!$B$61:$O$61,'Coordenadas dos Polos'!$DJ$2:$DW$2)))^2)</f>
        <v>2.6868326525116682E-4</v>
      </c>
      <c r="J61">
        <f>EXP(((-1)/(2*'Cálculos Diversos'!$B$5))*(SQRT(SUMXMY2('Tabela Entrada-Saída'!$B$61:$O$61,'Coordenadas dos Polos'!$DX$2:$EK$2)))^2)</f>
        <v>1.0168437810664298E-4</v>
      </c>
      <c r="K61">
        <f>EXP(((-1)/(2*'Cálculos Diversos'!$B$5))*(SQRT(SUMXMY2('Tabela Entrada-Saída'!$B$61:$O$61,'Coordenadas dos Polos'!$EL$2:$EY$2)))^2)</f>
        <v>4.295747121451546E-6</v>
      </c>
      <c r="L61">
        <f>EXP(((-1)/(2*'Cálculos Diversos'!$B$5))*(SQRT(SUMXMY2('Tabela Entrada-Saída'!$B$61:$O$61,'Coordenadas dos Polos'!$EZ$2:$FM$2)))^2)</f>
        <v>6.2319465671900679E-7</v>
      </c>
      <c r="M61">
        <f>EXP(((-1)/(2*'Cálculos Diversos'!$B$5))*(SQRT(SUMXMY2('Tabela Entrada-Saída'!$B$61:$O$61,'Coordenadas dos Polos'!$FN$2:$GA$2)))^2)</f>
        <v>1.2530871465492048E-5</v>
      </c>
      <c r="N61">
        <f>EXP(((-1)/(2*'Cálculos Diversos'!$B$5))*(SQRT(SUMXMY2('Tabela Entrada-Saída'!$B$61:$O$61,'Coordenadas dos Polos'!$GB$2:$GO$2)))^2)</f>
        <v>3.1010144375976116E-5</v>
      </c>
      <c r="O61">
        <f>EXP(((-1)/(2*'Cálculos Diversos'!$B$5))*(SQRT(SUMXMY2('Tabela Entrada-Saída'!$B$61:$O$61,'Coordenadas dos Polos'!$GP$2:$HC$2)))^2)</f>
        <v>2.563006220020516E-6</v>
      </c>
      <c r="P61">
        <v>1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6"/>
  <dimension ref="A1:BH16"/>
  <sheetViews>
    <sheetView workbookViewId="0">
      <selection activeCell="A2" sqref="A2:BH16"/>
    </sheetView>
  </sheetViews>
  <sheetFormatPr defaultRowHeight="14.4" x14ac:dyDescent="0.3"/>
  <sheetData>
    <row r="1" spans="1:60" x14ac:dyDescent="0.3">
      <c r="A1" t="s">
        <v>7</v>
      </c>
    </row>
    <row r="2" spans="1:60" x14ac:dyDescent="0.3">
      <c r="A2">
        <f t="array" ref="A2:BH16">TRANSPOSE('Matrix (R)'!$B$2:$P$61)</f>
        <v>4.3881562031239975E-2</v>
      </c>
      <c r="B2">
        <v>0.1471034210165108</v>
      </c>
      <c r="C2">
        <v>5.2441165468595952E-2</v>
      </c>
      <c r="D2">
        <v>0.15623765205984649</v>
      </c>
      <c r="E2">
        <v>8.1440534091009847E-2</v>
      </c>
      <c r="F2">
        <v>0.10669697698072381</v>
      </c>
      <c r="G2">
        <v>0.1985041960742942</v>
      </c>
      <c r="H2">
        <v>3.6487363872332271E-2</v>
      </c>
      <c r="I2">
        <v>0.2650513075889403</v>
      </c>
      <c r="J2">
        <v>0.20351843783551424</v>
      </c>
      <c r="K2">
        <v>9.0974473186535773E-2</v>
      </c>
      <c r="L2">
        <v>0.17688585227577797</v>
      </c>
      <c r="M2">
        <v>8.9800706361588462E-2</v>
      </c>
      <c r="N2">
        <v>6.7527447932093726E-2</v>
      </c>
      <c r="O2">
        <v>7.0931213765913534E-2</v>
      </c>
      <c r="P2">
        <v>0.12797531555943908</v>
      </c>
      <c r="Q2">
        <v>6.360827286076369E-2</v>
      </c>
      <c r="R2">
        <v>0.10867287320739734</v>
      </c>
      <c r="S2">
        <v>0.11451770706492451</v>
      </c>
      <c r="T2">
        <v>0.10843130775273951</v>
      </c>
      <c r="U2">
        <v>0.13248793268207554</v>
      </c>
      <c r="V2">
        <v>6.6571149199858626E-2</v>
      </c>
      <c r="W2">
        <v>0.14232560019783808</v>
      </c>
      <c r="X2">
        <v>0.13410265379892494</v>
      </c>
      <c r="Y2">
        <v>7.4345315354254746E-2</v>
      </c>
      <c r="Z2">
        <v>0.13414799266175773</v>
      </c>
      <c r="AA2">
        <v>9.4800471469806163E-2</v>
      </c>
      <c r="AB2">
        <v>0.10360552793499951</v>
      </c>
      <c r="AC2">
        <v>0.12812309964106294</v>
      </c>
      <c r="AD2">
        <v>8.3011415065904454E-2</v>
      </c>
      <c r="AE2">
        <v>9.2012613288165554E-2</v>
      </c>
      <c r="AF2">
        <v>0.11976804155542767</v>
      </c>
      <c r="AG2">
        <v>9.5649415828692838E-2</v>
      </c>
      <c r="AH2">
        <v>7.5639712650039548E-2</v>
      </c>
      <c r="AI2">
        <v>0.11375791971512073</v>
      </c>
      <c r="AJ2">
        <v>7.452987279325482E-2</v>
      </c>
      <c r="AK2">
        <v>8.5030661197193685E-2</v>
      </c>
      <c r="AL2">
        <v>0.10544072953108632</v>
      </c>
      <c r="AM2">
        <v>9.681949595768341E-2</v>
      </c>
      <c r="AN2">
        <v>0.10473900833212825</v>
      </c>
      <c r="AO2">
        <v>0.11782738810018921</v>
      </c>
      <c r="AP2">
        <v>9.9659583622348405E-2</v>
      </c>
      <c r="AQ2">
        <v>0.10503727210078734</v>
      </c>
      <c r="AR2">
        <v>7.9106810201393971E-2</v>
      </c>
      <c r="AS2">
        <v>8.4613613249590866E-2</v>
      </c>
      <c r="AT2">
        <v>7.8121281625019356E-2</v>
      </c>
      <c r="AU2">
        <v>0.10331194626522307</v>
      </c>
      <c r="AV2">
        <v>8.7695147194710332E-2</v>
      </c>
      <c r="AW2">
        <v>0.10407599473225786</v>
      </c>
      <c r="AX2">
        <v>8.1244946692371992E-2</v>
      </c>
      <c r="AY2">
        <v>0.1033588960392661</v>
      </c>
      <c r="AZ2">
        <v>9.6925746059961237E-2</v>
      </c>
      <c r="BA2">
        <v>8.2211372551030282E-2</v>
      </c>
      <c r="BB2">
        <v>0.10156631889347759</v>
      </c>
      <c r="BC2">
        <v>8.4455092907218726E-2</v>
      </c>
      <c r="BD2">
        <v>8.2614099050967574E-2</v>
      </c>
      <c r="BE2">
        <v>8.2789698443591284E-2</v>
      </c>
      <c r="BF2">
        <v>9.1731441330132946E-2</v>
      </c>
      <c r="BG2">
        <v>9.2367137576388716E-2</v>
      </c>
      <c r="BH2">
        <v>9.2367137576388716E-2</v>
      </c>
    </row>
    <row r="3" spans="1:60" x14ac:dyDescent="0.3">
      <c r="A3">
        <v>5.7011475887465034E-5</v>
      </c>
      <c r="B3">
        <v>8.670825757636876E-5</v>
      </c>
      <c r="C3">
        <v>6.1467849440522573E-5</v>
      </c>
      <c r="D3">
        <v>8.7347020215541171E-5</v>
      </c>
      <c r="E3">
        <v>7.2433445721814698E-5</v>
      </c>
      <c r="F3">
        <v>7.9527794161362051E-5</v>
      </c>
      <c r="G3">
        <v>9.0750252025785831E-5</v>
      </c>
      <c r="H3">
        <v>5.1970201265103967E-5</v>
      </c>
      <c r="I3">
        <v>9.1031077176061931E-5</v>
      </c>
      <c r="J3">
        <v>9.1306296429971196E-5</v>
      </c>
      <c r="K3">
        <v>7.5505102772624534E-5</v>
      </c>
      <c r="L3">
        <v>8.9635822816290435E-5</v>
      </c>
      <c r="M3">
        <v>7.5047095505372452E-5</v>
      </c>
      <c r="N3">
        <v>6.7653831690625072E-5</v>
      </c>
      <c r="O3">
        <v>6.9181114342512184E-5</v>
      </c>
      <c r="P3">
        <v>8.3858687137216981E-5</v>
      </c>
      <c r="Q3">
        <v>6.6179548092350861E-5</v>
      </c>
      <c r="R3">
        <v>7.9807533520295505E-5</v>
      </c>
      <c r="S3">
        <v>8.102057515098102E-5</v>
      </c>
      <c r="T3">
        <v>7.9962515116661326E-5</v>
      </c>
      <c r="U3">
        <v>8.4583450183824978E-5</v>
      </c>
      <c r="V3">
        <v>6.7433553377177228E-5</v>
      </c>
      <c r="W3">
        <v>8.5811430669609833E-5</v>
      </c>
      <c r="X3">
        <v>8.4646630493964914E-5</v>
      </c>
      <c r="Y3">
        <v>7.0255888285742689E-5</v>
      </c>
      <c r="Z3">
        <v>8.4769223478798022E-5</v>
      </c>
      <c r="AA3">
        <v>7.6645257313988878E-5</v>
      </c>
      <c r="AB3">
        <v>7.8768109809707553E-5</v>
      </c>
      <c r="AC3">
        <v>8.3670206299528855E-5</v>
      </c>
      <c r="AD3">
        <v>7.3273082147480687E-5</v>
      </c>
      <c r="AE3">
        <v>7.5870976183141026E-5</v>
      </c>
      <c r="AF3">
        <v>8.2085157749458757E-5</v>
      </c>
      <c r="AG3">
        <v>7.6882068304606776E-5</v>
      </c>
      <c r="AH3">
        <v>7.0873544007212959E-5</v>
      </c>
      <c r="AI3">
        <v>8.0941631269351933E-5</v>
      </c>
      <c r="AJ3">
        <v>7.0448282550610717E-5</v>
      </c>
      <c r="AK3">
        <v>7.3857884563475833E-5</v>
      </c>
      <c r="AL3">
        <v>7.9301546908631967E-5</v>
      </c>
      <c r="AM3">
        <v>7.708957635715217E-5</v>
      </c>
      <c r="AN3">
        <v>7.8973033726634554E-5</v>
      </c>
      <c r="AO3">
        <v>8.1769237800724231E-5</v>
      </c>
      <c r="AP3">
        <v>7.7825650260011331E-5</v>
      </c>
      <c r="AQ3">
        <v>7.9163130731270523E-5</v>
      </c>
      <c r="AR3">
        <v>7.1997359743191435E-5</v>
      </c>
      <c r="AS3">
        <v>7.3747702589839888E-5</v>
      </c>
      <c r="AT3">
        <v>7.1698045824960394E-5</v>
      </c>
      <c r="AU3">
        <v>7.8731515428118808E-5</v>
      </c>
      <c r="AV3">
        <v>7.4611085420160631E-5</v>
      </c>
      <c r="AW3">
        <v>7.8960604294686193E-5</v>
      </c>
      <c r="AX3">
        <v>7.2649389482804178E-5</v>
      </c>
      <c r="AY3">
        <v>7.87347531803723E-5</v>
      </c>
      <c r="AZ3">
        <v>7.7123469136518383E-5</v>
      </c>
      <c r="BA3">
        <v>7.2946093694340564E-5</v>
      </c>
      <c r="BB3">
        <v>7.8355332398577865E-5</v>
      </c>
      <c r="BC3">
        <v>7.3696809720864286E-5</v>
      </c>
      <c r="BD3">
        <v>7.3135235150322632E-5</v>
      </c>
      <c r="BE3">
        <v>7.3185038538342112E-5</v>
      </c>
      <c r="BF3">
        <v>7.5801934676993112E-5</v>
      </c>
      <c r="BG3">
        <v>7.5921276551838566E-5</v>
      </c>
      <c r="BH3">
        <v>7.5921276551838566E-5</v>
      </c>
    </row>
    <row r="4" spans="1:60" x14ac:dyDescent="0.3">
      <c r="A4">
        <v>2.5820276871633561E-5</v>
      </c>
      <c r="B4">
        <v>2.6234340311110617E-5</v>
      </c>
      <c r="C4">
        <v>2.6418938969634237E-5</v>
      </c>
      <c r="D4">
        <v>2.5784634716482277E-5</v>
      </c>
      <c r="E4">
        <v>2.7190680071038779E-5</v>
      </c>
      <c r="F4">
        <v>2.7153407154629248E-5</v>
      </c>
      <c r="G4">
        <v>2.4146556719980356E-5</v>
      </c>
      <c r="H4">
        <v>2.4830799074159422E-5</v>
      </c>
      <c r="I4">
        <v>2.0946891903512887E-5</v>
      </c>
      <c r="J4">
        <v>2.3978620425817651E-5</v>
      </c>
      <c r="K4">
        <v>2.7290824151419959E-5</v>
      </c>
      <c r="L4">
        <v>2.5085996570796956E-5</v>
      </c>
      <c r="M4">
        <v>2.7254870487848951E-5</v>
      </c>
      <c r="N4">
        <v>2.6952991992709373E-5</v>
      </c>
      <c r="O4">
        <v>2.7123498001967512E-5</v>
      </c>
      <c r="P4">
        <v>2.6782278978837256E-5</v>
      </c>
      <c r="Q4">
        <v>2.6877364028469044E-5</v>
      </c>
      <c r="R4">
        <v>2.7079916449042267E-5</v>
      </c>
      <c r="S4">
        <v>2.6997312822700885E-5</v>
      </c>
      <c r="T4">
        <v>2.7145159795643455E-5</v>
      </c>
      <c r="U4">
        <v>2.6652404114204666E-5</v>
      </c>
      <c r="V4">
        <v>2.6979054173167627E-5</v>
      </c>
      <c r="W4">
        <v>2.6297511071450824E-5</v>
      </c>
      <c r="X4">
        <v>2.6560875523130201E-5</v>
      </c>
      <c r="Y4">
        <v>2.7151387281217713E-5</v>
      </c>
      <c r="Z4">
        <v>2.6585831769527779E-5</v>
      </c>
      <c r="AA4">
        <v>2.7297618426820319E-5</v>
      </c>
      <c r="AB4">
        <v>2.7195027381909853E-5</v>
      </c>
      <c r="AC4">
        <v>2.6718766582873565E-5</v>
      </c>
      <c r="AD4">
        <v>2.7293107461105201E-5</v>
      </c>
      <c r="AE4">
        <v>2.7303372414721453E-5</v>
      </c>
      <c r="AF4">
        <v>2.689254415045622E-5</v>
      </c>
      <c r="AG4">
        <v>2.7282826108610603E-5</v>
      </c>
      <c r="AH4">
        <v>2.7221387256523841E-5</v>
      </c>
      <c r="AI4">
        <v>2.7025998800089629E-5</v>
      </c>
      <c r="AJ4">
        <v>2.7183704264731416E-5</v>
      </c>
      <c r="AK4">
        <v>2.7296757986677271E-5</v>
      </c>
      <c r="AL4">
        <v>2.7199338652975693E-5</v>
      </c>
      <c r="AM4">
        <v>2.7252619815818878E-5</v>
      </c>
      <c r="AN4">
        <v>2.716161127382951E-5</v>
      </c>
      <c r="AO4">
        <v>2.6941822767938027E-5</v>
      </c>
      <c r="AP4">
        <v>2.7236723142839505E-5</v>
      </c>
      <c r="AQ4">
        <v>2.7193893462272288E-5</v>
      </c>
      <c r="AR4">
        <v>2.7247097107457338E-5</v>
      </c>
      <c r="AS4">
        <v>2.7292492235069286E-5</v>
      </c>
      <c r="AT4">
        <v>2.7246456336027695E-5</v>
      </c>
      <c r="AU4">
        <v>2.7205973583363578E-5</v>
      </c>
      <c r="AV4">
        <v>2.7289657180050751E-5</v>
      </c>
      <c r="AW4">
        <v>2.721100627339443E-5</v>
      </c>
      <c r="AX4">
        <v>2.7259910359407718E-5</v>
      </c>
      <c r="AY4">
        <v>2.7199106266155284E-5</v>
      </c>
      <c r="AZ4">
        <v>2.7256833304504255E-5</v>
      </c>
      <c r="BA4">
        <v>2.7263899287640821E-5</v>
      </c>
      <c r="BB4">
        <v>2.7236706826500699E-5</v>
      </c>
      <c r="BC4">
        <v>2.7293160198608842E-5</v>
      </c>
      <c r="BD4">
        <v>2.7284750277214636E-5</v>
      </c>
      <c r="BE4">
        <v>2.7283885051132564E-5</v>
      </c>
      <c r="BF4">
        <v>2.7298098167496296E-5</v>
      </c>
      <c r="BG4">
        <v>2.7281914742782926E-5</v>
      </c>
      <c r="BH4">
        <v>2.7281914742782926E-5</v>
      </c>
    </row>
    <row r="5" spans="1:60" x14ac:dyDescent="0.3">
      <c r="A5">
        <v>5.7531273591934185E-5</v>
      </c>
      <c r="B5">
        <v>1.389172058702918E-4</v>
      </c>
      <c r="C5">
        <v>6.5911908352438067E-5</v>
      </c>
      <c r="D5">
        <v>1.4442665503531726E-4</v>
      </c>
      <c r="E5">
        <v>9.1296122741671551E-5</v>
      </c>
      <c r="F5">
        <v>1.1121814459093922E-4</v>
      </c>
      <c r="G5">
        <v>1.6871108702822807E-4</v>
      </c>
      <c r="H5">
        <v>4.9736667434845923E-5</v>
      </c>
      <c r="I5">
        <v>2.0042560206624357E-4</v>
      </c>
      <c r="J5">
        <v>1.7165585663566081E-4</v>
      </c>
      <c r="K5">
        <v>9.9144517810826564E-5</v>
      </c>
      <c r="L5">
        <v>1.5689846747030266E-4</v>
      </c>
      <c r="M5">
        <v>9.8102969475226162E-5</v>
      </c>
      <c r="N5">
        <v>7.9560500142776861E-5</v>
      </c>
      <c r="O5">
        <v>8.2575761324374882E-5</v>
      </c>
      <c r="P5">
        <v>1.2637531520800162E-4</v>
      </c>
      <c r="Q5">
        <v>7.6111582849324973E-5</v>
      </c>
      <c r="R5">
        <v>1.1255361607845056E-4</v>
      </c>
      <c r="S5">
        <v>1.1675426404802769E-4</v>
      </c>
      <c r="T5">
        <v>1.1243338423165699E-4</v>
      </c>
      <c r="U5">
        <v>1.2945268304305374E-4</v>
      </c>
      <c r="V5">
        <v>7.8761887509862274E-5</v>
      </c>
      <c r="W5">
        <v>1.3578489339437596E-4</v>
      </c>
      <c r="X5">
        <v>1.3044307584458045E-4</v>
      </c>
      <c r="Y5">
        <v>8.5464417442545341E-5</v>
      </c>
      <c r="Z5">
        <v>1.3050941887963004E-4</v>
      </c>
      <c r="AA5">
        <v>1.0218171547364169E-4</v>
      </c>
      <c r="AB5">
        <v>1.0883253296456127E-4</v>
      </c>
      <c r="AC5">
        <v>1.2639337402551331E-4</v>
      </c>
      <c r="AD5">
        <v>9.2744677831821845E-5</v>
      </c>
      <c r="AE5">
        <v>9.9958469049351125E-5</v>
      </c>
      <c r="AF5">
        <v>1.2051393532703469E-4</v>
      </c>
      <c r="AG5">
        <v>1.0279543859880382E-4</v>
      </c>
      <c r="AH5">
        <v>8.6656486877967825E-5</v>
      </c>
      <c r="AI5">
        <v>1.1629289453208642E-4</v>
      </c>
      <c r="AJ5">
        <v>8.5671502311900584E-5</v>
      </c>
      <c r="AK5">
        <v>9.439315312870335E-5</v>
      </c>
      <c r="AL5">
        <v>1.1026291569849969E-4</v>
      </c>
      <c r="AM5">
        <v>1.0366887489897495E-4</v>
      </c>
      <c r="AN5">
        <v>1.096640387412047E-4</v>
      </c>
      <c r="AO5">
        <v>1.1916585160994854E-4</v>
      </c>
      <c r="AP5">
        <v>1.0586296509326885E-4</v>
      </c>
      <c r="AQ5">
        <v>1.0994924541199674E-4</v>
      </c>
      <c r="AR5">
        <v>8.9519882293924411E-5</v>
      </c>
      <c r="AS5">
        <v>9.4042396915037762E-5</v>
      </c>
      <c r="AT5">
        <v>8.87241038034636E-5</v>
      </c>
      <c r="AU5">
        <v>1.0862894959919201E-4</v>
      </c>
      <c r="AV5">
        <v>9.6533168253159742E-5</v>
      </c>
      <c r="AW5">
        <v>1.0922724890445284E-4</v>
      </c>
      <c r="AX5">
        <v>9.1293047909668035E-5</v>
      </c>
      <c r="AY5">
        <v>1.0865418414691468E-4</v>
      </c>
      <c r="AZ5">
        <v>1.0375859542719188E-4</v>
      </c>
      <c r="BA5">
        <v>9.2077127641103409E-5</v>
      </c>
      <c r="BB5">
        <v>1.0733418142596751E-4</v>
      </c>
      <c r="BC5">
        <v>9.3929207248089568E-5</v>
      </c>
      <c r="BD5">
        <v>9.242675921218017E-5</v>
      </c>
      <c r="BE5">
        <v>9.2569823037957029E-5</v>
      </c>
      <c r="BF5">
        <v>9.9738186449387436E-5</v>
      </c>
      <c r="BG5">
        <v>1.0021757463856486E-4</v>
      </c>
      <c r="BH5">
        <v>1.0021757463856486E-4</v>
      </c>
    </row>
    <row r="6" spans="1:60" x14ac:dyDescent="0.3">
      <c r="A6">
        <v>1.2799208016112204E-6</v>
      </c>
      <c r="B6">
        <v>3.8941734360802747E-6</v>
      </c>
      <c r="C6">
        <v>1.51187834422745E-6</v>
      </c>
      <c r="D6">
        <v>4.0992399815132339E-6</v>
      </c>
      <c r="E6">
        <v>2.2643169236277596E-6</v>
      </c>
      <c r="F6">
        <v>2.9074025391531147E-6</v>
      </c>
      <c r="G6">
        <v>5.0857859105462325E-6</v>
      </c>
      <c r="H6">
        <v>1.0755569772304148E-6</v>
      </c>
      <c r="I6">
        <v>6.5548866071322997E-6</v>
      </c>
      <c r="J6">
        <v>5.2169018046233597E-6</v>
      </c>
      <c r="K6">
        <v>2.5087395182684635E-6</v>
      </c>
      <c r="L6">
        <v>4.5944687312255826E-6</v>
      </c>
      <c r="M6">
        <v>2.4771554092125876E-6</v>
      </c>
      <c r="N6">
        <v>1.9068388103119606E-6</v>
      </c>
      <c r="O6">
        <v>1.9953696600931529E-6</v>
      </c>
      <c r="P6">
        <v>3.4333863083002951E-6</v>
      </c>
      <c r="Q6">
        <v>1.8029696019512816E-6</v>
      </c>
      <c r="R6">
        <v>2.9548496920097052E-6</v>
      </c>
      <c r="S6">
        <v>3.097571086708943E-6</v>
      </c>
      <c r="T6">
        <v>2.947804734919824E-6</v>
      </c>
      <c r="U6">
        <v>3.5435367121250075E-6</v>
      </c>
      <c r="V6">
        <v>1.8815088234415744E-6</v>
      </c>
      <c r="W6">
        <v>3.7746262494315468E-6</v>
      </c>
      <c r="X6">
        <v>3.5812610726888459E-6</v>
      </c>
      <c r="Y6">
        <v>2.0834649568078026E-6</v>
      </c>
      <c r="Z6">
        <v>3.5842319630444251E-6</v>
      </c>
      <c r="AA6">
        <v>2.6101772091324292E-6</v>
      </c>
      <c r="AB6">
        <v>2.8271554867042811E-6</v>
      </c>
      <c r="AC6">
        <v>3.4332793653513114E-6</v>
      </c>
      <c r="AD6">
        <v>2.3084817971987092E-6</v>
      </c>
      <c r="AE6">
        <v>2.5378900581551688E-6</v>
      </c>
      <c r="AF6">
        <v>3.2271011186705863E-6</v>
      </c>
      <c r="AG6">
        <v>2.6287568538773417E-6</v>
      </c>
      <c r="AH6">
        <v>2.1189606830857788E-6</v>
      </c>
      <c r="AI6">
        <v>3.0794220606816198E-6</v>
      </c>
      <c r="AJ6">
        <v>2.0892793374233419E-6</v>
      </c>
      <c r="AK6">
        <v>2.3594904446163174E-6</v>
      </c>
      <c r="AL6">
        <v>2.875916974214519E-6</v>
      </c>
      <c r="AM6">
        <v>2.6575067085960784E-6</v>
      </c>
      <c r="AN6">
        <v>2.8559465439620363E-6</v>
      </c>
      <c r="AO6">
        <v>3.1792732141860921E-6</v>
      </c>
      <c r="AP6">
        <v>2.7292252506738037E-6</v>
      </c>
      <c r="AQ6">
        <v>2.8650515487276448E-6</v>
      </c>
      <c r="AR6">
        <v>2.2071633461523084E-6</v>
      </c>
      <c r="AS6">
        <v>2.3483062026452835E-6</v>
      </c>
      <c r="AT6">
        <v>2.1830438194294901E-6</v>
      </c>
      <c r="AU6">
        <v>2.8209192496612988E-6</v>
      </c>
      <c r="AV6">
        <v>2.4274898336576575E-6</v>
      </c>
      <c r="AW6">
        <v>2.8407484178050268E-6</v>
      </c>
      <c r="AX6">
        <v>2.2623270330398419E-6</v>
      </c>
      <c r="AY6">
        <v>2.8222266650753943E-6</v>
      </c>
      <c r="AZ6">
        <v>2.6603501658748905E-6</v>
      </c>
      <c r="BA6">
        <v>2.286467161538432E-6</v>
      </c>
      <c r="BB6">
        <v>2.7782121403719063E-6</v>
      </c>
      <c r="BC6">
        <v>2.3451209628289825E-6</v>
      </c>
      <c r="BD6">
        <v>2.2975184896176777E-6</v>
      </c>
      <c r="BE6">
        <v>2.3023104518422941E-6</v>
      </c>
      <c r="BF6">
        <v>2.5298670309792279E-6</v>
      </c>
      <c r="BG6">
        <v>2.5450285700250415E-6</v>
      </c>
      <c r="BH6">
        <v>2.5450285700250415E-6</v>
      </c>
    </row>
    <row r="7" spans="1:60" x14ac:dyDescent="0.3">
      <c r="A7">
        <v>1.1302694979363965E-4</v>
      </c>
      <c r="B7">
        <v>1.2682895356381913E-4</v>
      </c>
      <c r="C7">
        <v>1.1743825631951277E-4</v>
      </c>
      <c r="D7">
        <v>1.2588477996619354E-4</v>
      </c>
      <c r="E7">
        <v>1.2508903573945715E-4</v>
      </c>
      <c r="F7">
        <v>1.2791795546245757E-4</v>
      </c>
      <c r="G7">
        <v>1.2074985229152855E-4</v>
      </c>
      <c r="H7">
        <v>1.078109334533265E-4</v>
      </c>
      <c r="I7">
        <v>1.0897872477933214E-4</v>
      </c>
      <c r="J7">
        <v>1.2035495405042373E-4</v>
      </c>
      <c r="K7">
        <v>1.2657473933011307E-4</v>
      </c>
      <c r="L7">
        <v>1.2390643163273814E-4</v>
      </c>
      <c r="M7">
        <v>1.2630443885004532E-4</v>
      </c>
      <c r="N7">
        <v>1.2234484627446756E-4</v>
      </c>
      <c r="O7">
        <v>1.2324889262322993E-4</v>
      </c>
      <c r="P7">
        <v>1.2793358158713693E-4</v>
      </c>
      <c r="Q7">
        <v>1.21158121246723E-4</v>
      </c>
      <c r="R7">
        <v>1.2784610094275877E-4</v>
      </c>
      <c r="S7">
        <v>1.278214339285659E-4</v>
      </c>
      <c r="T7">
        <v>1.2787552535569786E-4</v>
      </c>
      <c r="U7">
        <v>1.2781629618480216E-4</v>
      </c>
      <c r="V7">
        <v>1.2211709737202408E-4</v>
      </c>
      <c r="W7">
        <v>1.2712787430238363E-4</v>
      </c>
      <c r="X7">
        <v>1.2764060102162927E-4</v>
      </c>
      <c r="Y7">
        <v>1.2392943641501971E-4</v>
      </c>
      <c r="Z7">
        <v>1.2770583408946249E-4</v>
      </c>
      <c r="AA7">
        <v>1.2711171978814831E-4</v>
      </c>
      <c r="AB7">
        <v>1.2760837865825273E-4</v>
      </c>
      <c r="AC7">
        <v>1.2782927431700134E-4</v>
      </c>
      <c r="AD7">
        <v>1.2564181728298292E-4</v>
      </c>
      <c r="AE7">
        <v>1.2676627310730901E-4</v>
      </c>
      <c r="AF7">
        <v>1.2788410634567891E-4</v>
      </c>
      <c r="AG7">
        <v>1.2714604689874448E-4</v>
      </c>
      <c r="AH7">
        <v>1.2436045507281134E-4</v>
      </c>
      <c r="AI7">
        <v>1.2791421721597762E-4</v>
      </c>
      <c r="AJ7">
        <v>1.2409364267193881E-4</v>
      </c>
      <c r="AK7">
        <v>1.2591876852730918E-4</v>
      </c>
      <c r="AL7">
        <v>1.2780237566700387E-4</v>
      </c>
      <c r="AM7">
        <v>1.2718095948642853E-4</v>
      </c>
      <c r="AN7">
        <v>1.2765810505141492E-4</v>
      </c>
      <c r="AO7">
        <v>1.2794030008904847E-4</v>
      </c>
      <c r="AP7">
        <v>1.2741062873869503E-4</v>
      </c>
      <c r="AQ7">
        <v>1.2775161083408601E-4</v>
      </c>
      <c r="AR7">
        <v>1.2497722783821414E-4</v>
      </c>
      <c r="AS7">
        <v>1.2586422625110392E-4</v>
      </c>
      <c r="AT7">
        <v>1.2484101437086528E-4</v>
      </c>
      <c r="AU7">
        <v>1.2762793421366013E-4</v>
      </c>
      <c r="AV7">
        <v>1.2627843166652779E-4</v>
      </c>
      <c r="AW7">
        <v>1.2770369409542329E-4</v>
      </c>
      <c r="AX7">
        <v>1.2533547144784516E-4</v>
      </c>
      <c r="AY7">
        <v>1.2763928000581522E-4</v>
      </c>
      <c r="AZ7">
        <v>1.271887758097114E-4</v>
      </c>
      <c r="BA7">
        <v>1.2547205361791589E-4</v>
      </c>
      <c r="BB7">
        <v>1.2756926051465562E-4</v>
      </c>
      <c r="BC7">
        <v>1.2586296055273565E-4</v>
      </c>
      <c r="BD7">
        <v>1.2557628648323085E-4</v>
      </c>
      <c r="BE7">
        <v>1.2561005280192227E-4</v>
      </c>
      <c r="BF7">
        <v>1.2675579466256038E-4</v>
      </c>
      <c r="BG7">
        <v>1.2677662298150505E-4</v>
      </c>
      <c r="BH7">
        <v>1.2677662298150505E-4</v>
      </c>
    </row>
    <row r="8" spans="1:60" x14ac:dyDescent="0.3">
      <c r="A8">
        <v>5.1271247665823155E-6</v>
      </c>
      <c r="B8">
        <v>6.187505010474168E-6</v>
      </c>
      <c r="C8">
        <v>5.3557983539477027E-6</v>
      </c>
      <c r="D8">
        <v>6.1165290900829229E-6</v>
      </c>
      <c r="E8">
        <v>5.8112070785881822E-6</v>
      </c>
      <c r="F8">
        <v>6.0569918816603218E-6</v>
      </c>
      <c r="G8">
        <v>6.0017916341842354E-6</v>
      </c>
      <c r="H8">
        <v>4.78364998505906E-6</v>
      </c>
      <c r="I8">
        <v>5.5115890173627785E-6</v>
      </c>
      <c r="J8">
        <v>6.0077102595391722E-6</v>
      </c>
      <c r="K8">
        <v>5.9360547604171527E-6</v>
      </c>
      <c r="L8">
        <v>6.1122266130756328E-6</v>
      </c>
      <c r="M8">
        <v>5.9141284357006053E-6</v>
      </c>
      <c r="N8">
        <v>5.6166753795365468E-6</v>
      </c>
      <c r="O8">
        <v>5.7122109229531015E-6</v>
      </c>
      <c r="P8">
        <v>6.1621705738216634E-6</v>
      </c>
      <c r="Q8">
        <v>5.5607041318252166E-6</v>
      </c>
      <c r="R8">
        <v>6.0508471432326979E-6</v>
      </c>
      <c r="S8">
        <v>6.0811271606037214E-6</v>
      </c>
      <c r="T8">
        <v>6.0804639501734219E-6</v>
      </c>
      <c r="U8">
        <v>6.1652881276838562E-6</v>
      </c>
      <c r="V8">
        <v>5.6235806396125416E-6</v>
      </c>
      <c r="W8">
        <v>6.145844299616875E-6</v>
      </c>
      <c r="X8">
        <v>6.1432546544486439E-6</v>
      </c>
      <c r="Y8">
        <v>5.7404268759102363E-6</v>
      </c>
      <c r="Z8">
        <v>6.1593463535581705E-6</v>
      </c>
      <c r="AA8">
        <v>5.9834321821955912E-6</v>
      </c>
      <c r="AB8">
        <v>6.0391334329087771E-6</v>
      </c>
      <c r="AC8">
        <v>6.1329544905875455E-6</v>
      </c>
      <c r="AD8">
        <v>5.8736298573674422E-6</v>
      </c>
      <c r="AE8">
        <v>5.9595752262519375E-6</v>
      </c>
      <c r="AF8">
        <v>6.1028269208142668E-6</v>
      </c>
      <c r="AG8">
        <v>5.9943959748460027E-6</v>
      </c>
      <c r="AH8">
        <v>5.7788048415478454E-6</v>
      </c>
      <c r="AI8">
        <v>6.0825394071324168E-6</v>
      </c>
      <c r="AJ8">
        <v>5.7601236757637304E-6</v>
      </c>
      <c r="AK8">
        <v>5.8895916522873391E-6</v>
      </c>
      <c r="AL8">
        <v>6.0632120305135709E-6</v>
      </c>
      <c r="AM8">
        <v>5.990340294761347E-6</v>
      </c>
      <c r="AN8">
        <v>6.0366829800761955E-6</v>
      </c>
      <c r="AO8">
        <v>6.1030548553952056E-6</v>
      </c>
      <c r="AP8">
        <v>6.013267731064574E-6</v>
      </c>
      <c r="AQ8">
        <v>6.0542493123820455E-6</v>
      </c>
      <c r="AR8">
        <v>5.8211037589392235E-6</v>
      </c>
      <c r="AS8">
        <v>5.8882201044824826E-6</v>
      </c>
      <c r="AT8">
        <v>5.8109290631352066E-6</v>
      </c>
      <c r="AU8">
        <v>6.0409934006031553E-6</v>
      </c>
      <c r="AV8">
        <v>5.910920593102835E-6</v>
      </c>
      <c r="AW8">
        <v>6.0523175958548223E-6</v>
      </c>
      <c r="AX8">
        <v>5.8405640970154263E-6</v>
      </c>
      <c r="AY8">
        <v>6.0404490144979774E-6</v>
      </c>
      <c r="AZ8">
        <v>5.9918868589593645E-6</v>
      </c>
      <c r="BA8">
        <v>5.8512446393293753E-6</v>
      </c>
      <c r="BB8">
        <v>6.0352107404411532E-6</v>
      </c>
      <c r="BC8">
        <v>5.8847824576965247E-6</v>
      </c>
      <c r="BD8">
        <v>5.8652265797654765E-6</v>
      </c>
      <c r="BE8">
        <v>5.8664621409953899E-6</v>
      </c>
      <c r="BF8">
        <v>5.957247426407113E-6</v>
      </c>
      <c r="BG8">
        <v>5.9551598378042282E-6</v>
      </c>
      <c r="BH8">
        <v>5.9551598378042282E-6</v>
      </c>
    </row>
    <row r="9" spans="1:60" x14ac:dyDescent="0.3">
      <c r="A9">
        <v>2.8629464430897036E-4</v>
      </c>
      <c r="B9">
        <v>2.3542576313928328E-4</v>
      </c>
      <c r="C9">
        <v>2.8543428326251793E-4</v>
      </c>
      <c r="D9">
        <v>2.2930715015250357E-4</v>
      </c>
      <c r="E9">
        <v>2.7413893527236259E-4</v>
      </c>
      <c r="F9">
        <v>2.6052706051467116E-4</v>
      </c>
      <c r="G9">
        <v>2.0297855596718546E-4</v>
      </c>
      <c r="H9">
        <v>2.8424577627127168E-4</v>
      </c>
      <c r="I9">
        <v>1.6387321702198473E-4</v>
      </c>
      <c r="J9">
        <v>2.0007240345746484E-4</v>
      </c>
      <c r="K9">
        <v>2.6967006619783694E-4</v>
      </c>
      <c r="L9">
        <v>2.1643351370374825E-4</v>
      </c>
      <c r="M9">
        <v>2.6994704648424612E-4</v>
      </c>
      <c r="N9">
        <v>2.805526571432942E-4</v>
      </c>
      <c r="O9">
        <v>2.793056057438413E-4</v>
      </c>
      <c r="P9">
        <v>2.4762676153389034E-4</v>
      </c>
      <c r="Q9">
        <v>2.8228006294397299E-4</v>
      </c>
      <c r="R9">
        <v>2.5906791722786368E-4</v>
      </c>
      <c r="S9">
        <v>2.5560788922103999E-4</v>
      </c>
      <c r="T9">
        <v>2.5933882962854741E-4</v>
      </c>
      <c r="U9">
        <v>2.4481087213579054E-4</v>
      </c>
      <c r="V9">
        <v>2.8108217061661664E-4</v>
      </c>
      <c r="W9">
        <v>2.3832749997507505E-4</v>
      </c>
      <c r="X9">
        <v>2.4367740829323199E-4</v>
      </c>
      <c r="Y9">
        <v>2.7779554963456389E-4</v>
      </c>
      <c r="Z9">
        <v>2.4364273351362142E-4</v>
      </c>
      <c r="AA9">
        <v>2.6749918305546524E-4</v>
      </c>
      <c r="AB9">
        <v>2.6225932071194462E-4</v>
      </c>
      <c r="AC9">
        <v>2.4742007311118078E-4</v>
      </c>
      <c r="AD9">
        <v>2.7367072424062678E-4</v>
      </c>
      <c r="AE9">
        <v>2.6893924178310709E-4</v>
      </c>
      <c r="AF9">
        <v>2.5241513152534566E-4</v>
      </c>
      <c r="AG9">
        <v>2.6681424769268763E-4</v>
      </c>
      <c r="AH9">
        <v>2.7745615426672134E-4</v>
      </c>
      <c r="AI9">
        <v>2.5624364832538098E-4</v>
      </c>
      <c r="AJ9">
        <v>2.7774924977074877E-4</v>
      </c>
      <c r="AK9">
        <v>2.7271274375141271E-4</v>
      </c>
      <c r="AL9">
        <v>2.6127557018975863E-4</v>
      </c>
      <c r="AM9">
        <v>2.6613020646962476E-4</v>
      </c>
      <c r="AN9">
        <v>2.6156142298397879E-4</v>
      </c>
      <c r="AO9">
        <v>2.5359809729552353E-4</v>
      </c>
      <c r="AP9">
        <v>2.6456296102979381E-4</v>
      </c>
      <c r="AQ9">
        <v>2.6152111366762042E-4</v>
      </c>
      <c r="AR9">
        <v>2.7560785667892645E-4</v>
      </c>
      <c r="AS9">
        <v>2.7282983495261907E-4</v>
      </c>
      <c r="AT9">
        <v>2.7618664483489342E-4</v>
      </c>
      <c r="AU9">
        <v>2.6246048312069081E-4</v>
      </c>
      <c r="AV9">
        <v>2.7128642953679966E-4</v>
      </c>
      <c r="AW9">
        <v>2.6205442848704062E-4</v>
      </c>
      <c r="AX9">
        <v>2.7462126441360338E-4</v>
      </c>
      <c r="AY9">
        <v>2.6237266987571499E-4</v>
      </c>
      <c r="AZ9">
        <v>2.6612002377433754E-4</v>
      </c>
      <c r="BA9">
        <v>2.741025417822146E-4</v>
      </c>
      <c r="BB9">
        <v>2.6350283195449638E-4</v>
      </c>
      <c r="BC9">
        <v>2.7297778143989916E-4</v>
      </c>
      <c r="BD9">
        <v>2.73923446017208E-4</v>
      </c>
      <c r="BE9">
        <v>2.738235529218154E-4</v>
      </c>
      <c r="BF9">
        <v>2.690521639830237E-4</v>
      </c>
      <c r="BG9">
        <v>2.6868326525116682E-4</v>
      </c>
      <c r="BH9">
        <v>2.6868326525116682E-4</v>
      </c>
    </row>
    <row r="10" spans="1:60" x14ac:dyDescent="0.3">
      <c r="A10">
        <v>8.4337302277135847E-5</v>
      </c>
      <c r="B10">
        <v>1.0785932701526809E-4</v>
      </c>
      <c r="C10">
        <v>8.9066184726279457E-5</v>
      </c>
      <c r="D10">
        <v>1.0741576011066424E-4</v>
      </c>
      <c r="E10">
        <v>9.8911417630490603E-5</v>
      </c>
      <c r="F10">
        <v>1.0425516403981671E-4</v>
      </c>
      <c r="G10">
        <v>1.0681234729778749E-4</v>
      </c>
      <c r="H10">
        <v>7.8853647867119678E-5</v>
      </c>
      <c r="I10">
        <v>1.0057279048205652E-4</v>
      </c>
      <c r="J10">
        <v>1.0712495124400814E-4</v>
      </c>
      <c r="K10">
        <v>1.0126172342814487E-4</v>
      </c>
      <c r="L10">
        <v>1.0791242649400411E-4</v>
      </c>
      <c r="M10">
        <v>1.0093068384666695E-4</v>
      </c>
      <c r="N10">
        <v>9.4847316854544591E-5</v>
      </c>
      <c r="O10">
        <v>9.6207144181258819E-5</v>
      </c>
      <c r="P10">
        <v>1.0677248204033094E-4</v>
      </c>
      <c r="Q10">
        <v>9.3370866342322746E-5</v>
      </c>
      <c r="R10">
        <v>1.0441971633801536E-4</v>
      </c>
      <c r="S10">
        <v>1.0505764449600493E-4</v>
      </c>
      <c r="T10">
        <v>1.0449555900158757E-4</v>
      </c>
      <c r="U10">
        <v>1.0708119964160089E-4</v>
      </c>
      <c r="V10">
        <v>9.4608907824774338E-5</v>
      </c>
      <c r="W10">
        <v>1.0730947859463766E-4</v>
      </c>
      <c r="X10">
        <v>1.0701475614088004E-4</v>
      </c>
      <c r="Y10">
        <v>9.7109519071481417E-5</v>
      </c>
      <c r="Z10">
        <v>1.0718905717396571E-4</v>
      </c>
      <c r="AA10">
        <v>1.0233424759380096E-4</v>
      </c>
      <c r="AB10">
        <v>1.0367037844399079E-4</v>
      </c>
      <c r="AC10">
        <v>1.064904717621504E-4</v>
      </c>
      <c r="AD10">
        <v>9.9724705764104123E-5</v>
      </c>
      <c r="AE10">
        <v>1.0172775347875307E-4</v>
      </c>
      <c r="AF10">
        <v>1.0566713124485681E-4</v>
      </c>
      <c r="AG10">
        <v>1.0245092514848096E-4</v>
      </c>
      <c r="AH10">
        <v>9.7686418927510506E-5</v>
      </c>
      <c r="AI10">
        <v>1.0499148927546441E-4</v>
      </c>
      <c r="AJ10">
        <v>9.7325014366468323E-5</v>
      </c>
      <c r="AK10">
        <v>1.0012785530926983E-4</v>
      </c>
      <c r="AL10">
        <v>1.0413393365592326E-4</v>
      </c>
      <c r="AM10">
        <v>1.0255419681097147E-4</v>
      </c>
      <c r="AN10">
        <v>1.0381728086631926E-4</v>
      </c>
      <c r="AO10">
        <v>1.0550326926623845E-4</v>
      </c>
      <c r="AP10">
        <v>1.0306521131677222E-4</v>
      </c>
      <c r="AQ10">
        <v>1.0399587987087527E-4</v>
      </c>
      <c r="AR10">
        <v>9.8623583913107706E-5</v>
      </c>
      <c r="AS10">
        <v>1.0004727307427653E-4</v>
      </c>
      <c r="AT10">
        <v>9.8405887824704573E-5</v>
      </c>
      <c r="AU10">
        <v>1.03690882859249E-4</v>
      </c>
      <c r="AV10">
        <v>1.0071616100437521E-4</v>
      </c>
      <c r="AW10">
        <v>1.0387100018035299E-4</v>
      </c>
      <c r="AX10">
        <v>9.9142236655132455E-5</v>
      </c>
      <c r="AY10">
        <v>1.0371334526091326E-4</v>
      </c>
      <c r="AZ10">
        <v>1.0257015351491988E-4</v>
      </c>
      <c r="BA10">
        <v>9.9361983160123558E-5</v>
      </c>
      <c r="BB10">
        <v>1.0348130417438171E-4</v>
      </c>
      <c r="BC10">
        <v>1.0002685713096441E-4</v>
      </c>
      <c r="BD10">
        <v>9.9553573718587666E-5</v>
      </c>
      <c r="BE10">
        <v>9.9609954990773026E-5</v>
      </c>
      <c r="BF10">
        <v>1.0164209532746889E-4</v>
      </c>
      <c r="BG10">
        <v>1.0168437810664298E-4</v>
      </c>
      <c r="BH10">
        <v>1.0168437810664298E-4</v>
      </c>
    </row>
    <row r="11" spans="1:60" x14ac:dyDescent="0.3">
      <c r="A11">
        <v>4.0217766676672683E-6</v>
      </c>
      <c r="B11">
        <v>4.1665181240700851E-6</v>
      </c>
      <c r="C11">
        <v>4.1248712081083193E-6</v>
      </c>
      <c r="D11">
        <v>4.1016965575157992E-6</v>
      </c>
      <c r="E11">
        <v>4.267573211209555E-6</v>
      </c>
      <c r="F11">
        <v>4.2876741162935301E-6</v>
      </c>
      <c r="G11">
        <v>3.8601674641845435E-6</v>
      </c>
      <c r="H11">
        <v>3.8505800764532077E-6</v>
      </c>
      <c r="I11">
        <v>3.3733320832314039E-6</v>
      </c>
      <c r="J11">
        <v>3.8371509519952967E-6</v>
      </c>
      <c r="K11">
        <v>4.2947798438023848E-6</v>
      </c>
      <c r="L11">
        <v>4.0024625589201727E-6</v>
      </c>
      <c r="M11">
        <v>4.287001806633976E-6</v>
      </c>
      <c r="N11">
        <v>4.2196722750286483E-6</v>
      </c>
      <c r="O11">
        <v>4.2530792540331744E-6</v>
      </c>
      <c r="P11">
        <v>4.2422914790229115E-6</v>
      </c>
      <c r="Q11">
        <v>4.2042772492652065E-6</v>
      </c>
      <c r="R11">
        <v>4.2754461401608082E-6</v>
      </c>
      <c r="S11">
        <v>4.2646030419531892E-6</v>
      </c>
      <c r="T11">
        <v>4.2888996283758324E-6</v>
      </c>
      <c r="U11">
        <v>4.2250846872996189E-6</v>
      </c>
      <c r="V11">
        <v>4.225241577473395E-6</v>
      </c>
      <c r="W11">
        <v>4.1748568963581094E-6</v>
      </c>
      <c r="X11">
        <v>4.2090677193284535E-6</v>
      </c>
      <c r="Y11">
        <v>4.2575535714178667E-6</v>
      </c>
      <c r="Z11">
        <v>4.2141898059871004E-6</v>
      </c>
      <c r="AA11">
        <v>4.2986758144003262E-6</v>
      </c>
      <c r="AB11">
        <v>4.2909304609956726E-6</v>
      </c>
      <c r="AC11">
        <v>4.2315760952146979E-6</v>
      </c>
      <c r="AD11">
        <v>4.2897463079978143E-6</v>
      </c>
      <c r="AE11">
        <v>4.2976636554112086E-6</v>
      </c>
      <c r="AF11">
        <v>4.252826132576453E-6</v>
      </c>
      <c r="AG11">
        <v>4.3000493107523879E-6</v>
      </c>
      <c r="AH11">
        <v>4.271806578585937E-6</v>
      </c>
      <c r="AI11">
        <v>4.2704635720272165E-6</v>
      </c>
      <c r="AJ11">
        <v>4.2656134642826168E-6</v>
      </c>
      <c r="AK11">
        <v>4.2916842710518995E-6</v>
      </c>
      <c r="AL11">
        <v>4.2932037981896755E-6</v>
      </c>
      <c r="AM11">
        <v>4.2946909115211289E-6</v>
      </c>
      <c r="AN11">
        <v>4.2854104507333104E-6</v>
      </c>
      <c r="AO11">
        <v>4.2611213957218707E-6</v>
      </c>
      <c r="AP11">
        <v>4.2944936514594934E-6</v>
      </c>
      <c r="AQ11">
        <v>4.2915950504428121E-6</v>
      </c>
      <c r="AR11">
        <v>4.2797825849521426E-6</v>
      </c>
      <c r="AS11">
        <v>4.2919284014138234E-6</v>
      </c>
      <c r="AT11">
        <v>4.2780977078165736E-6</v>
      </c>
      <c r="AU11">
        <v>4.2923241549005236E-6</v>
      </c>
      <c r="AV11">
        <v>4.2925272969680611E-6</v>
      </c>
      <c r="AW11">
        <v>4.2941517488123666E-6</v>
      </c>
      <c r="AX11">
        <v>4.2825344312854672E-6</v>
      </c>
      <c r="AY11">
        <v>4.2914925342055678E-6</v>
      </c>
      <c r="AZ11">
        <v>4.2951103396107913E-6</v>
      </c>
      <c r="BA11">
        <v>4.2843657878158533E-6</v>
      </c>
      <c r="BB11">
        <v>4.2960766562341752E-6</v>
      </c>
      <c r="BC11">
        <v>4.2911023907663428E-6</v>
      </c>
      <c r="BD11">
        <v>4.2886173658128273E-6</v>
      </c>
      <c r="BE11">
        <v>4.2884140868925262E-6</v>
      </c>
      <c r="BF11">
        <v>4.2982686792501513E-6</v>
      </c>
      <c r="BG11">
        <v>4.295747121451546E-6</v>
      </c>
      <c r="BH11">
        <v>4.295747121451546E-6</v>
      </c>
    </row>
    <row r="12" spans="1:60" x14ac:dyDescent="0.3">
      <c r="A12">
        <v>3.42105933073153E-7</v>
      </c>
      <c r="B12">
        <v>8.9631209522816096E-7</v>
      </c>
      <c r="C12">
        <v>3.9599789676801022E-7</v>
      </c>
      <c r="D12">
        <v>9.3298020982650987E-7</v>
      </c>
      <c r="E12">
        <v>5.6262516328707072E-7</v>
      </c>
      <c r="F12">
        <v>6.9868455849864213E-7</v>
      </c>
      <c r="G12">
        <v>1.1149339200659107E-6</v>
      </c>
      <c r="H12">
        <v>2.9202823964245286E-7</v>
      </c>
      <c r="I12">
        <v>1.3594611176113364E-6</v>
      </c>
      <c r="J12">
        <v>1.1393614238062786E-6</v>
      </c>
      <c r="K12">
        <v>6.1548476616395972E-7</v>
      </c>
      <c r="L12">
        <v>1.0271027981554562E-6</v>
      </c>
      <c r="M12">
        <v>6.0852896258557251E-7</v>
      </c>
      <c r="N12">
        <v>4.8439821147308076E-7</v>
      </c>
      <c r="O12">
        <v>5.0486884975360934E-7</v>
      </c>
      <c r="P12">
        <v>8.0577522880952697E-7</v>
      </c>
      <c r="Q12">
        <v>4.6162398828896856E-7</v>
      </c>
      <c r="R12">
        <v>7.0788462843121522E-7</v>
      </c>
      <c r="S12">
        <v>7.3718282522450075E-7</v>
      </c>
      <c r="T12">
        <v>7.0734890602400485E-7</v>
      </c>
      <c r="U12">
        <v>8.2740312625401038E-7</v>
      </c>
      <c r="V12">
        <v>4.7928823128389197E-7</v>
      </c>
      <c r="W12">
        <v>8.7157525196909596E-7</v>
      </c>
      <c r="X12">
        <v>8.3401645465679247E-7</v>
      </c>
      <c r="Y12">
        <v>5.2377404495548878E-7</v>
      </c>
      <c r="Z12">
        <v>8.3510217214518632E-7</v>
      </c>
      <c r="AA12">
        <v>6.3712806832301672E-7</v>
      </c>
      <c r="AB12">
        <v>6.8219259013429667E-7</v>
      </c>
      <c r="AC12">
        <v>8.0481241480691973E-7</v>
      </c>
      <c r="AD12">
        <v>5.7306525523643657E-7</v>
      </c>
      <c r="AE12">
        <v>6.2188884865806818E-7</v>
      </c>
      <c r="AF12">
        <v>7.6335793222754877E-7</v>
      </c>
      <c r="AG12">
        <v>6.4105606269338091E-7</v>
      </c>
      <c r="AH12">
        <v>5.3198035328336867E-7</v>
      </c>
      <c r="AI12">
        <v>7.3365212987674194E-7</v>
      </c>
      <c r="AJ12">
        <v>5.2538943624943404E-7</v>
      </c>
      <c r="AK12">
        <v>5.8389508081737491E-7</v>
      </c>
      <c r="AL12">
        <v>6.9256927221499281E-7</v>
      </c>
      <c r="AM12">
        <v>6.4678684547219813E-7</v>
      </c>
      <c r="AN12">
        <v>6.8783012456680852E-7</v>
      </c>
      <c r="AO12">
        <v>7.5391056710335972E-7</v>
      </c>
      <c r="AP12">
        <v>6.6183774990166963E-7</v>
      </c>
      <c r="AQ12">
        <v>6.9016372168620752E-7</v>
      </c>
      <c r="AR12">
        <v>5.510608362264275E-7</v>
      </c>
      <c r="AS12">
        <v>5.8153183246856965E-7</v>
      </c>
      <c r="AT12">
        <v>5.458710770274491E-7</v>
      </c>
      <c r="AU12">
        <v>6.8095517934333153E-7</v>
      </c>
      <c r="AV12">
        <v>5.98246643811704E-7</v>
      </c>
      <c r="AW12">
        <v>6.8525522011531793E-7</v>
      </c>
      <c r="AX12">
        <v>5.628491169504236E-7</v>
      </c>
      <c r="AY12">
        <v>6.8117108909551047E-7</v>
      </c>
      <c r="AZ12">
        <v>6.474088363765466E-7</v>
      </c>
      <c r="BA12">
        <v>5.6803978717801839E-7</v>
      </c>
      <c r="BB12">
        <v>6.7225252513860101E-7</v>
      </c>
      <c r="BC12">
        <v>5.8081358070236823E-7</v>
      </c>
      <c r="BD12">
        <v>5.7062187460188693E-7</v>
      </c>
      <c r="BE12">
        <v>5.7162885221609177E-7</v>
      </c>
      <c r="BF12">
        <v>6.2016588920768606E-7</v>
      </c>
      <c r="BG12">
        <v>6.2319465671900679E-7</v>
      </c>
      <c r="BH12">
        <v>6.2319465671900679E-7</v>
      </c>
    </row>
    <row r="13" spans="1:60" x14ac:dyDescent="0.3">
      <c r="A13">
        <v>7.1735486761748716E-6</v>
      </c>
      <c r="B13">
        <v>1.7447808485469932E-5</v>
      </c>
      <c r="C13">
        <v>8.2212675767434989E-6</v>
      </c>
      <c r="D13">
        <v>1.81149347217622E-5</v>
      </c>
      <c r="E13">
        <v>1.1395664136399508E-5</v>
      </c>
      <c r="F13">
        <v>1.3918633217316382E-5</v>
      </c>
      <c r="G13">
        <v>2.1217709287288361E-5</v>
      </c>
      <c r="H13">
        <v>6.1783486235898294E-6</v>
      </c>
      <c r="I13">
        <v>2.5234337527395664E-5</v>
      </c>
      <c r="J13">
        <v>2.1613975570918667E-5</v>
      </c>
      <c r="K13">
        <v>1.2392847893610154E-5</v>
      </c>
      <c r="L13">
        <v>1.9724671728000286E-5</v>
      </c>
      <c r="M13">
        <v>1.2257468479707264E-5</v>
      </c>
      <c r="N13">
        <v>9.9205996711187884E-6</v>
      </c>
      <c r="O13">
        <v>1.0312370775600388E-5</v>
      </c>
      <c r="P13">
        <v>1.585087608398955E-5</v>
      </c>
      <c r="Q13">
        <v>9.4915265749286138E-6</v>
      </c>
      <c r="R13">
        <v>1.4082031070918162E-5</v>
      </c>
      <c r="S13">
        <v>1.4615066245104291E-5</v>
      </c>
      <c r="T13">
        <v>1.4078572532512512E-5</v>
      </c>
      <c r="U13">
        <v>1.6238234291673765E-5</v>
      </c>
      <c r="V13">
        <v>9.8272033747882466E-6</v>
      </c>
      <c r="W13">
        <v>1.7028875425023112E-5</v>
      </c>
      <c r="X13">
        <v>1.6353733634886443E-5</v>
      </c>
      <c r="Y13">
        <v>1.0668961641967107E-5</v>
      </c>
      <c r="Z13">
        <v>1.6369510723241E-5</v>
      </c>
      <c r="AA13">
        <v>1.2781839633941411E-5</v>
      </c>
      <c r="AB13">
        <v>1.3618255051346731E-5</v>
      </c>
      <c r="AC13">
        <v>1.5839205871945795E-5</v>
      </c>
      <c r="AD13">
        <v>1.1593133146518569E-5</v>
      </c>
      <c r="AE13">
        <v>1.2501494117516623E-5</v>
      </c>
      <c r="AF13">
        <v>1.5091713356244369E-5</v>
      </c>
      <c r="AG13">
        <v>1.2860780066029431E-5</v>
      </c>
      <c r="AH13">
        <v>1.0825134381649006E-5</v>
      </c>
      <c r="AI13">
        <v>1.4557534004606577E-5</v>
      </c>
      <c r="AJ13">
        <v>1.0699818780570381E-5</v>
      </c>
      <c r="AK13">
        <v>1.179856297851567E-5</v>
      </c>
      <c r="AL13">
        <v>1.3804666909123412E-5</v>
      </c>
      <c r="AM13">
        <v>1.2965981214218346E-5</v>
      </c>
      <c r="AN13">
        <v>1.3720380041087817E-5</v>
      </c>
      <c r="AO13">
        <v>1.4923111904347304E-5</v>
      </c>
      <c r="AP13">
        <v>1.3243427892939377E-5</v>
      </c>
      <c r="AQ13">
        <v>1.3762383412725361E-5</v>
      </c>
      <c r="AR13">
        <v>1.1184491269754288E-5</v>
      </c>
      <c r="AS13">
        <v>1.1755394872420147E-5</v>
      </c>
      <c r="AT13">
        <v>1.1085319533090179E-5</v>
      </c>
      <c r="AU13">
        <v>1.3594648168306322E-5</v>
      </c>
      <c r="AV13">
        <v>1.2066185298635379E-5</v>
      </c>
      <c r="AW13">
        <v>1.3672475435210388E-5</v>
      </c>
      <c r="AX13">
        <v>1.1405710152589318E-5</v>
      </c>
      <c r="AY13">
        <v>1.3597499472097034E-5</v>
      </c>
      <c r="AZ13">
        <v>1.2977735081275071E-5</v>
      </c>
      <c r="BA13">
        <v>1.1504179213154611E-5</v>
      </c>
      <c r="BB13">
        <v>1.3433002891546874E-5</v>
      </c>
      <c r="BC13">
        <v>1.174067183390077E-5</v>
      </c>
      <c r="BD13">
        <v>1.1551513611813012E-5</v>
      </c>
      <c r="BE13">
        <v>1.156931489323549E-5</v>
      </c>
      <c r="BF13">
        <v>1.2473244046618774E-5</v>
      </c>
      <c r="BG13">
        <v>1.2530871465492048E-5</v>
      </c>
      <c r="BH13">
        <v>1.2530871465492048E-5</v>
      </c>
    </row>
    <row r="14" spans="1:60" x14ac:dyDescent="0.3">
      <c r="A14">
        <v>1.8470156516689696E-5</v>
      </c>
      <c r="B14">
        <v>4.2264191100028841E-5</v>
      </c>
      <c r="C14">
        <v>2.0965586590228783E-5</v>
      </c>
      <c r="D14">
        <v>4.3476287481355597E-5</v>
      </c>
      <c r="E14">
        <v>2.8326543802113873E-5</v>
      </c>
      <c r="F14">
        <v>3.4167228740048922E-5</v>
      </c>
      <c r="G14">
        <v>5.0274899629586192E-5</v>
      </c>
      <c r="H14">
        <v>1.5920949295787018E-5</v>
      </c>
      <c r="I14">
        <v>5.8111729818289454E-5</v>
      </c>
      <c r="J14">
        <v>5.1234428701164802E-5</v>
      </c>
      <c r="K14">
        <v>3.065178189415887E-5</v>
      </c>
      <c r="L14">
        <v>4.7177676486137621E-5</v>
      </c>
      <c r="M14">
        <v>3.0344008045932362E-5</v>
      </c>
      <c r="N14">
        <v>2.4881455302763652E-5</v>
      </c>
      <c r="O14">
        <v>2.5905190379215763E-5</v>
      </c>
      <c r="P14">
        <v>3.8619939341395287E-5</v>
      </c>
      <c r="Q14">
        <v>2.3895646983489187E-5</v>
      </c>
      <c r="R14">
        <v>3.4507980625068845E-5</v>
      </c>
      <c r="S14">
        <v>3.5729169917957413E-5</v>
      </c>
      <c r="T14">
        <v>3.4602188411981246E-5</v>
      </c>
      <c r="U14">
        <v>3.946504547384179E-5</v>
      </c>
      <c r="V14">
        <v>2.4715551032201472E-5</v>
      </c>
      <c r="W14">
        <v>4.114367390266106E-5</v>
      </c>
      <c r="X14">
        <v>3.9638011874705486E-5</v>
      </c>
      <c r="Y14">
        <v>2.6675330716035057E-5</v>
      </c>
      <c r="Z14">
        <v>3.9741054812815661E-5</v>
      </c>
      <c r="AA14">
        <v>3.1599586301446358E-5</v>
      </c>
      <c r="AB14">
        <v>3.3501317705999777E-5</v>
      </c>
      <c r="AC14">
        <v>3.8486719482064486E-5</v>
      </c>
      <c r="AD14">
        <v>2.8887369575297147E-5</v>
      </c>
      <c r="AE14">
        <v>3.0965629955368976E-5</v>
      </c>
      <c r="AF14">
        <v>3.6802291407387964E-5</v>
      </c>
      <c r="AG14">
        <v>3.1807241392636974E-5</v>
      </c>
      <c r="AH14">
        <v>2.7076692624996615E-5</v>
      </c>
      <c r="AI14">
        <v>3.5590704550818372E-5</v>
      </c>
      <c r="AJ14">
        <v>2.6792839657915039E-5</v>
      </c>
      <c r="AK14">
        <v>2.9335272609492708E-5</v>
      </c>
      <c r="AL14">
        <v>3.3961043256536667E-5</v>
      </c>
      <c r="AM14">
        <v>3.2007788238818225E-5</v>
      </c>
      <c r="AN14">
        <v>3.3700580330964395E-5</v>
      </c>
      <c r="AO14">
        <v>3.6449435753169506E-5</v>
      </c>
      <c r="AP14">
        <v>3.2645096586885039E-5</v>
      </c>
      <c r="AQ14">
        <v>3.3840346040833237E-5</v>
      </c>
      <c r="AR14">
        <v>2.7918453263742941E-5</v>
      </c>
      <c r="AS14">
        <v>2.9251588273359979E-5</v>
      </c>
      <c r="AT14">
        <v>2.7687708423481313E-5</v>
      </c>
      <c r="AU14">
        <v>3.3455281375133029E-5</v>
      </c>
      <c r="AV14">
        <v>2.9933293333195403E-5</v>
      </c>
      <c r="AW14">
        <v>3.3653112107200325E-5</v>
      </c>
      <c r="AX14">
        <v>2.8406564497709795E-5</v>
      </c>
      <c r="AY14">
        <v>3.3464335460578075E-5</v>
      </c>
      <c r="AZ14">
        <v>3.2033168383265179E-5</v>
      </c>
      <c r="BA14">
        <v>2.863496957250852E-5</v>
      </c>
      <c r="BB14">
        <v>3.310496354500904E-5</v>
      </c>
      <c r="BC14">
        <v>2.9206725096447086E-5</v>
      </c>
      <c r="BD14">
        <v>2.8771811112028738E-5</v>
      </c>
      <c r="BE14">
        <v>2.8811758767273143E-5</v>
      </c>
      <c r="BF14">
        <v>3.0901658059252666E-5</v>
      </c>
      <c r="BG14">
        <v>3.1010144375976116E-5</v>
      </c>
      <c r="BH14">
        <v>3.1010144375976116E-5</v>
      </c>
    </row>
    <row r="15" spans="1:60" x14ac:dyDescent="0.3">
      <c r="A15">
        <v>1.6207482849132699E-6</v>
      </c>
      <c r="B15">
        <v>3.3025128480408538E-6</v>
      </c>
      <c r="C15">
        <v>1.8183846166122137E-6</v>
      </c>
      <c r="D15">
        <v>3.4011965117829002E-6</v>
      </c>
      <c r="E15">
        <v>2.3780521988993069E-6</v>
      </c>
      <c r="F15">
        <v>2.7854781630502366E-6</v>
      </c>
      <c r="G15">
        <v>3.8021387507706786E-6</v>
      </c>
      <c r="H15">
        <v>1.435022837136933E-6</v>
      </c>
      <c r="I15">
        <v>4.2531598152354216E-6</v>
      </c>
      <c r="J15">
        <v>3.8504554663438664E-6</v>
      </c>
      <c r="K15">
        <v>2.5405044389410929E-6</v>
      </c>
      <c r="L15">
        <v>3.6134050662197648E-6</v>
      </c>
      <c r="M15">
        <v>2.5193353181471624E-6</v>
      </c>
      <c r="N15">
        <v>2.1263470585057952E-6</v>
      </c>
      <c r="O15">
        <v>2.1902366321287178E-6</v>
      </c>
      <c r="P15">
        <v>3.0745310163141097E-6</v>
      </c>
      <c r="Q15">
        <v>2.0485263496186412E-6</v>
      </c>
      <c r="R15">
        <v>2.8119570957446091E-6</v>
      </c>
      <c r="S15">
        <v>2.892250862324498E-6</v>
      </c>
      <c r="T15">
        <v>2.8077253603453009E-6</v>
      </c>
      <c r="U15">
        <v>3.1324435182332406E-6</v>
      </c>
      <c r="V15">
        <v>2.1075156759132666E-6</v>
      </c>
      <c r="W15">
        <v>3.2481977027370606E-6</v>
      </c>
      <c r="X15">
        <v>3.151387993062353E-6</v>
      </c>
      <c r="Y15">
        <v>2.2533022678774105E-6</v>
      </c>
      <c r="Z15">
        <v>3.1524039008455094E-6</v>
      </c>
      <c r="AA15">
        <v>2.6036018638607812E-6</v>
      </c>
      <c r="AB15">
        <v>2.7367536780203009E-6</v>
      </c>
      <c r="AC15">
        <v>3.0757355626256584E-6</v>
      </c>
      <c r="AD15">
        <v>2.4079392485712542E-6</v>
      </c>
      <c r="AE15">
        <v>2.5576262952971816E-6</v>
      </c>
      <c r="AF15">
        <v>2.9645819291817495E-6</v>
      </c>
      <c r="AG15">
        <v>2.6154124692853796E-6</v>
      </c>
      <c r="AH15">
        <v>2.2787117300562064E-6</v>
      </c>
      <c r="AI15">
        <v>2.8835172309703148E-6</v>
      </c>
      <c r="AJ15">
        <v>2.2577540639113059E-6</v>
      </c>
      <c r="AK15">
        <v>2.4424332323142869E-6</v>
      </c>
      <c r="AL15">
        <v>2.7652552939134094E-6</v>
      </c>
      <c r="AM15">
        <v>2.6334463780767602E-6</v>
      </c>
      <c r="AN15">
        <v>2.7537580072462503E-6</v>
      </c>
      <c r="AO15">
        <v>2.9388270685409005E-6</v>
      </c>
      <c r="AP15">
        <v>2.6777021637745673E-6</v>
      </c>
      <c r="AQ15">
        <v>2.7590707082406141E-6</v>
      </c>
      <c r="AR15">
        <v>2.3398691056680018E-6</v>
      </c>
      <c r="AS15">
        <v>2.4350181457855003E-6</v>
      </c>
      <c r="AT15">
        <v>2.3230819320110097E-6</v>
      </c>
      <c r="AU15">
        <v>2.7327067774772557E-6</v>
      </c>
      <c r="AV15">
        <v>2.4873382491591207E-6</v>
      </c>
      <c r="AW15">
        <v>2.7445653805609261E-6</v>
      </c>
      <c r="AX15">
        <v>2.3776206508715402E-6</v>
      </c>
      <c r="AY15">
        <v>2.7334463773270101E-6</v>
      </c>
      <c r="AZ15">
        <v>2.6351351145877664E-6</v>
      </c>
      <c r="BA15">
        <v>2.3940229512965105E-6</v>
      </c>
      <c r="BB15">
        <v>2.7069823334245226E-6</v>
      </c>
      <c r="BC15">
        <v>2.4328843069427871E-6</v>
      </c>
      <c r="BD15">
        <v>2.4011941127779576E-6</v>
      </c>
      <c r="BE15">
        <v>2.4043476117469836E-6</v>
      </c>
      <c r="BF15">
        <v>2.5531464587901432E-6</v>
      </c>
      <c r="BG15">
        <v>2.563006220020516E-6</v>
      </c>
      <c r="BH15">
        <v>2.563006220020516E-6</v>
      </c>
    </row>
    <row r="16" spans="1:60" x14ac:dyDescent="0.3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1</v>
      </c>
      <c r="BD16">
        <v>1</v>
      </c>
      <c r="BE16">
        <v>1</v>
      </c>
      <c r="BF16">
        <v>1</v>
      </c>
      <c r="BG16">
        <v>1</v>
      </c>
      <c r="BH16">
        <v>1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7"/>
  <dimension ref="A1:O16"/>
  <sheetViews>
    <sheetView workbookViewId="0">
      <selection activeCell="A2" sqref="A2:O16"/>
    </sheetView>
  </sheetViews>
  <sheetFormatPr defaultRowHeight="14.4" x14ac:dyDescent="0.3"/>
  <sheetData>
    <row r="1" spans="1:15" x14ac:dyDescent="0.3">
      <c r="A1" t="s">
        <v>8</v>
      </c>
    </row>
    <row r="2" spans="1:15" x14ac:dyDescent="0.3">
      <c r="A2">
        <f t="array" ref="A2:O16">MMULT('Matrix (R)^t'!$A$2:$BH$16,'Matrix (R)'!$B$2:$P$61)</f>
        <v>0.73072566727155497</v>
      </c>
      <c r="B2">
        <v>4.9299308595566842E-4</v>
      </c>
      <c r="C2">
        <v>1.6477345011028547E-4</v>
      </c>
      <c r="D2">
        <v>7.2324018455516661E-4</v>
      </c>
      <c r="E2">
        <v>1.9567900315135223E-5</v>
      </c>
      <c r="F2">
        <v>7.7818620748222231E-4</v>
      </c>
      <c r="G2">
        <v>3.7032189977244081E-5</v>
      </c>
      <c r="H2">
        <v>1.5727518169014899E-3</v>
      </c>
      <c r="I2">
        <v>6.3877274502345744E-4</v>
      </c>
      <c r="J2">
        <v>2.6028648461940072E-5</v>
      </c>
      <c r="K2">
        <v>4.5958781224165957E-6</v>
      </c>
      <c r="L2">
        <v>9.0616702852210285E-5</v>
      </c>
      <c r="M2">
        <v>2.208605336705675E-4</v>
      </c>
      <c r="N2">
        <v>1.7734978075106739E-5</v>
      </c>
      <c r="O2">
        <v>6.2186773400537749</v>
      </c>
    </row>
    <row r="3" spans="1:15" x14ac:dyDescent="0.3">
      <c r="A3">
        <v>4.9299308595566842E-4</v>
      </c>
      <c r="B3">
        <v>3.5751356625958415E-7</v>
      </c>
      <c r="C3">
        <v>1.2325767091269385E-7</v>
      </c>
      <c r="D3">
        <v>5.0383152724930388E-7</v>
      </c>
      <c r="E3">
        <v>1.3332274802126016E-8</v>
      </c>
      <c r="F3">
        <v>5.7784397351452228E-7</v>
      </c>
      <c r="G3">
        <v>2.7347772091036187E-8</v>
      </c>
      <c r="H3">
        <v>1.1941729220266766E-6</v>
      </c>
      <c r="I3">
        <v>4.6966210408130865E-7</v>
      </c>
      <c r="J3">
        <v>1.9441435394214389E-8</v>
      </c>
      <c r="K3">
        <v>3.1773770510388523E-9</v>
      </c>
      <c r="L3">
        <v>6.3083375571797909E-8</v>
      </c>
      <c r="M3">
        <v>1.5463040752197209E-7</v>
      </c>
      <c r="N3">
        <v>1.2546821022661422E-8</v>
      </c>
      <c r="O3">
        <v>4.6095609709008029E-3</v>
      </c>
    </row>
    <row r="4" spans="1:15" x14ac:dyDescent="0.3">
      <c r="A4">
        <v>1.6477345011028547E-4</v>
      </c>
      <c r="B4">
        <v>1.2325767091269385E-7</v>
      </c>
      <c r="C4">
        <v>4.3077867121784277E-8</v>
      </c>
      <c r="D4">
        <v>1.7072272045666061E-7</v>
      </c>
      <c r="E4">
        <v>4.4748398316740912E-9</v>
      </c>
      <c r="F4">
        <v>2.0129674263528283E-7</v>
      </c>
      <c r="G4">
        <v>9.5036011782249804E-9</v>
      </c>
      <c r="H4">
        <v>4.2015889713001728E-7</v>
      </c>
      <c r="I4">
        <v>1.629001513152321E-7</v>
      </c>
      <c r="J4">
        <v>6.7901582341307144E-9</v>
      </c>
      <c r="K4">
        <v>1.0731340895126949E-9</v>
      </c>
      <c r="L4">
        <v>2.1369314914533134E-8</v>
      </c>
      <c r="M4">
        <v>5.2507461569930777E-8</v>
      </c>
      <c r="N4">
        <v>4.2797443688098213E-9</v>
      </c>
      <c r="O4">
        <v>1.6064524053199165E-3</v>
      </c>
    </row>
    <row r="5" spans="1:15" x14ac:dyDescent="0.3">
      <c r="A5">
        <v>7.2324018455516661E-4</v>
      </c>
      <c r="B5">
        <v>5.0383152724930388E-7</v>
      </c>
      <c r="C5">
        <v>1.7072272045666061E-7</v>
      </c>
      <c r="D5">
        <v>7.2607358409122176E-7</v>
      </c>
      <c r="E5">
        <v>1.9452094497814211E-8</v>
      </c>
      <c r="F5">
        <v>8.0366350355120519E-7</v>
      </c>
      <c r="G5">
        <v>3.8152198586979737E-8</v>
      </c>
      <c r="H5">
        <v>1.6402655296606118E-6</v>
      </c>
      <c r="I5">
        <v>6.5681446405281405E-7</v>
      </c>
      <c r="J5">
        <v>2.695063304665031E-8</v>
      </c>
      <c r="K5">
        <v>4.598361385117231E-9</v>
      </c>
      <c r="L5">
        <v>9.0944433251187772E-8</v>
      </c>
      <c r="M5">
        <v>2.2222134782776361E-7</v>
      </c>
      <c r="N5">
        <v>1.7926799778412662E-8</v>
      </c>
      <c r="O5">
        <v>6.4146573612206851E-3</v>
      </c>
    </row>
    <row r="6" spans="1:15" x14ac:dyDescent="0.3">
      <c r="A6">
        <v>1.9567900315135223E-5</v>
      </c>
      <c r="B6">
        <v>1.3332274802126016E-8</v>
      </c>
      <c r="C6">
        <v>4.4748398316740912E-9</v>
      </c>
      <c r="D6">
        <v>1.9452094497814211E-8</v>
      </c>
      <c r="E6">
        <v>5.2470561017931697E-10</v>
      </c>
      <c r="F6">
        <v>2.1112546485206528E-8</v>
      </c>
      <c r="G6">
        <v>1.0039583805095004E-9</v>
      </c>
      <c r="H6">
        <v>4.2797793050425354E-8</v>
      </c>
      <c r="I6">
        <v>1.7307065721773286E-8</v>
      </c>
      <c r="J6">
        <v>7.0673096678666789E-10</v>
      </c>
      <c r="K6">
        <v>1.2348199910455552E-10</v>
      </c>
      <c r="L6">
        <v>2.4369828927943177E-9</v>
      </c>
      <c r="M6">
        <v>5.9443073308553751E-9</v>
      </c>
      <c r="N6">
        <v>4.7799987523249624E-10</v>
      </c>
      <c r="O6">
        <v>1.6864288942211321E-4</v>
      </c>
    </row>
    <row r="7" spans="1:15" x14ac:dyDescent="0.3">
      <c r="A7">
        <v>7.7818620748222231E-4</v>
      </c>
      <c r="B7">
        <v>5.7784397351452228E-7</v>
      </c>
      <c r="C7">
        <v>2.0129674263528283E-7</v>
      </c>
      <c r="D7">
        <v>8.0366350355120519E-7</v>
      </c>
      <c r="E7">
        <v>2.1112546485206528E-8</v>
      </c>
      <c r="F7">
        <v>9.4136503283263402E-7</v>
      </c>
      <c r="G7">
        <v>4.4469535828952077E-8</v>
      </c>
      <c r="H7">
        <v>1.9601910438574359E-6</v>
      </c>
      <c r="I7">
        <v>7.6259585776730483E-7</v>
      </c>
      <c r="J7">
        <v>3.1734492695725072E-8</v>
      </c>
      <c r="K7">
        <v>5.055614153542167E-9</v>
      </c>
      <c r="L7">
        <v>1.006014925176154E-7</v>
      </c>
      <c r="M7">
        <v>2.4705030863692969E-7</v>
      </c>
      <c r="N7">
        <v>2.0114884708605457E-8</v>
      </c>
      <c r="O7">
        <v>7.5113060366245191E-3</v>
      </c>
    </row>
    <row r="8" spans="1:15" x14ac:dyDescent="0.3">
      <c r="A8">
        <v>3.7032189977244081E-5</v>
      </c>
      <c r="B8">
        <v>2.7347772091036187E-8</v>
      </c>
      <c r="C8">
        <v>9.5036011782249804E-9</v>
      </c>
      <c r="D8">
        <v>3.8152198586979737E-8</v>
      </c>
      <c r="E8">
        <v>1.0039583805095004E-9</v>
      </c>
      <c r="F8">
        <v>4.4469535828952077E-8</v>
      </c>
      <c r="G8">
        <v>2.1016447900675499E-9</v>
      </c>
      <c r="H8">
        <v>9.2432778705318373E-8</v>
      </c>
      <c r="I8">
        <v>3.6052761377191162E-8</v>
      </c>
      <c r="J8">
        <v>1.4984251276024941E-9</v>
      </c>
      <c r="K8">
        <v>2.401437586410361E-10</v>
      </c>
      <c r="L8">
        <v>4.7760995405634627E-9</v>
      </c>
      <c r="M8">
        <v>1.1723848296343083E-8</v>
      </c>
      <c r="N8">
        <v>9.5378976713740116E-10</v>
      </c>
      <c r="O8">
        <v>3.5478994011238073E-4</v>
      </c>
    </row>
    <row r="9" spans="1:15" x14ac:dyDescent="0.3">
      <c r="A9">
        <v>1.5727518169014899E-3</v>
      </c>
      <c r="B9">
        <v>1.1941729220266766E-6</v>
      </c>
      <c r="C9">
        <v>4.2015889713001728E-7</v>
      </c>
      <c r="D9">
        <v>1.6402655296606118E-6</v>
      </c>
      <c r="E9">
        <v>4.2797793050425354E-8</v>
      </c>
      <c r="F9">
        <v>1.9601910438574359E-6</v>
      </c>
      <c r="G9">
        <v>9.2432778705318373E-8</v>
      </c>
      <c r="H9">
        <v>4.1116828808728163E-6</v>
      </c>
      <c r="I9">
        <v>1.5828986197031929E-6</v>
      </c>
      <c r="J9">
        <v>6.620585572983557E-8</v>
      </c>
      <c r="K9">
        <v>1.029424071953234E-8</v>
      </c>
      <c r="L9">
        <v>2.0528163671032088E-7</v>
      </c>
      <c r="M9">
        <v>5.0499047588162853E-7</v>
      </c>
      <c r="N9">
        <v>4.1250172115717033E-8</v>
      </c>
      <c r="O9">
        <v>1.5651581947511931E-2</v>
      </c>
    </row>
    <row r="10" spans="1:15" x14ac:dyDescent="0.3">
      <c r="A10">
        <v>6.3877274502345744E-4</v>
      </c>
      <c r="B10">
        <v>4.6966210408130865E-7</v>
      </c>
      <c r="C10">
        <v>1.629001513152321E-7</v>
      </c>
      <c r="D10">
        <v>6.5681446405281405E-7</v>
      </c>
      <c r="E10">
        <v>1.7307065721773286E-8</v>
      </c>
      <c r="F10">
        <v>7.6259585776730483E-7</v>
      </c>
      <c r="G10">
        <v>3.6052761377191162E-8</v>
      </c>
      <c r="H10">
        <v>1.5828986197031929E-6</v>
      </c>
      <c r="I10">
        <v>6.1863576691943249E-7</v>
      </c>
      <c r="J10">
        <v>2.5686718504536187E-8</v>
      </c>
      <c r="K10">
        <v>4.1361363838661609E-9</v>
      </c>
      <c r="L10">
        <v>8.222703646984785E-8</v>
      </c>
      <c r="M10">
        <v>2.0177262373158336E-7</v>
      </c>
      <c r="N10">
        <v>1.6404755665071657E-8</v>
      </c>
      <c r="O10">
        <v>6.0838885862654147E-3</v>
      </c>
    </row>
    <row r="11" spans="1:15" x14ac:dyDescent="0.3">
      <c r="A11">
        <v>2.6028648461940072E-5</v>
      </c>
      <c r="B11">
        <v>1.9441435394214389E-8</v>
      </c>
      <c r="C11">
        <v>6.7901582341307144E-9</v>
      </c>
      <c r="D11">
        <v>2.695063304665031E-8</v>
      </c>
      <c r="E11">
        <v>7.0673096678666789E-10</v>
      </c>
      <c r="F11">
        <v>3.1734492695725072E-8</v>
      </c>
      <c r="G11">
        <v>1.4984251276024941E-9</v>
      </c>
      <c r="H11">
        <v>6.620585572983557E-8</v>
      </c>
      <c r="I11">
        <v>2.5686718504536187E-8</v>
      </c>
      <c r="J11">
        <v>1.0703351209730967E-9</v>
      </c>
      <c r="K11">
        <v>1.694338522338253E-10</v>
      </c>
      <c r="L11">
        <v>3.3734525389083279E-9</v>
      </c>
      <c r="M11">
        <v>8.2880925010757211E-9</v>
      </c>
      <c r="N11">
        <v>6.7539301268270167E-10</v>
      </c>
      <c r="O11">
        <v>2.5324768732679461E-4</v>
      </c>
    </row>
    <row r="12" spans="1:15" x14ac:dyDescent="0.3">
      <c r="A12">
        <v>4.5958781224165957E-6</v>
      </c>
      <c r="B12">
        <v>3.1773770510388523E-9</v>
      </c>
      <c r="C12">
        <v>1.0731340895126949E-9</v>
      </c>
      <c r="D12">
        <v>4.598361385117231E-9</v>
      </c>
      <c r="E12">
        <v>1.2348199910455552E-10</v>
      </c>
      <c r="F12">
        <v>5.055614153542167E-9</v>
      </c>
      <c r="G12">
        <v>2.401437586410361E-10</v>
      </c>
      <c r="H12">
        <v>1.029424071953234E-8</v>
      </c>
      <c r="I12">
        <v>4.1361363838661609E-9</v>
      </c>
      <c r="J12">
        <v>1.694338522338253E-10</v>
      </c>
      <c r="K12">
        <v>2.9145643086796691E-11</v>
      </c>
      <c r="L12">
        <v>5.760099036545335E-10</v>
      </c>
      <c r="M12">
        <v>1.4066305865558088E-9</v>
      </c>
      <c r="N12">
        <v>1.133493968359494E-10</v>
      </c>
      <c r="O12">
        <v>4.0361627111131635E-5</v>
      </c>
    </row>
    <row r="13" spans="1:15" x14ac:dyDescent="0.3">
      <c r="A13">
        <v>9.0616702852210285E-5</v>
      </c>
      <c r="B13">
        <v>6.3083375571797909E-8</v>
      </c>
      <c r="C13">
        <v>2.1369314914533134E-8</v>
      </c>
      <c r="D13">
        <v>9.0944433251187772E-8</v>
      </c>
      <c r="E13">
        <v>2.4369828927943177E-9</v>
      </c>
      <c r="F13">
        <v>1.006014925176154E-7</v>
      </c>
      <c r="G13">
        <v>4.7760995405634627E-9</v>
      </c>
      <c r="H13">
        <v>2.0528163671032088E-7</v>
      </c>
      <c r="I13">
        <v>8.222703646984785E-8</v>
      </c>
      <c r="J13">
        <v>3.3734525389083279E-9</v>
      </c>
      <c r="K13">
        <v>5.760099036545335E-10</v>
      </c>
      <c r="L13">
        <v>1.1391332907909783E-8</v>
      </c>
      <c r="M13">
        <v>2.7833083408221204E-8</v>
      </c>
      <c r="N13">
        <v>2.245095089795276E-9</v>
      </c>
      <c r="O13">
        <v>8.0298932943808656E-4</v>
      </c>
    </row>
    <row r="14" spans="1:15" x14ac:dyDescent="0.3">
      <c r="A14">
        <v>2.208605336705675E-4</v>
      </c>
      <c r="B14">
        <v>1.5463040752197209E-7</v>
      </c>
      <c r="C14">
        <v>5.2507461569930777E-8</v>
      </c>
      <c r="D14">
        <v>2.2222134782776361E-7</v>
      </c>
      <c r="E14">
        <v>5.9443073308553751E-9</v>
      </c>
      <c r="F14">
        <v>2.4705030863692969E-7</v>
      </c>
      <c r="G14">
        <v>1.1723848296343083E-8</v>
      </c>
      <c r="H14">
        <v>5.0499047588162853E-7</v>
      </c>
      <c r="I14">
        <v>2.0177262373158336E-7</v>
      </c>
      <c r="J14">
        <v>8.2880925010757211E-9</v>
      </c>
      <c r="K14">
        <v>1.4066305865558088E-9</v>
      </c>
      <c r="L14">
        <v>2.7833083408221204E-8</v>
      </c>
      <c r="M14">
        <v>6.8036833422891845E-8</v>
      </c>
      <c r="N14">
        <v>5.4925157973096971E-9</v>
      </c>
      <c r="O14">
        <v>1.971611342368423E-3</v>
      </c>
    </row>
    <row r="15" spans="1:15" x14ac:dyDescent="0.3">
      <c r="A15">
        <v>1.7734978075106739E-5</v>
      </c>
      <c r="B15">
        <v>1.2546821022661422E-8</v>
      </c>
      <c r="C15">
        <v>4.2797443688098213E-9</v>
      </c>
      <c r="D15">
        <v>1.7926799778412662E-8</v>
      </c>
      <c r="E15">
        <v>4.7799987523249624E-10</v>
      </c>
      <c r="F15">
        <v>2.0114884708605457E-8</v>
      </c>
      <c r="G15">
        <v>9.5378976713740116E-10</v>
      </c>
      <c r="H15">
        <v>4.1250172115717033E-8</v>
      </c>
      <c r="I15">
        <v>1.6404755665071657E-8</v>
      </c>
      <c r="J15">
        <v>6.7539301268270167E-10</v>
      </c>
      <c r="K15">
        <v>1.133493968359494E-10</v>
      </c>
      <c r="L15">
        <v>2.245095089795276E-9</v>
      </c>
      <c r="M15">
        <v>5.4925157973096971E-9</v>
      </c>
      <c r="N15">
        <v>4.4407490131548483E-10</v>
      </c>
      <c r="O15">
        <v>1.6049671862209921E-4</v>
      </c>
    </row>
    <row r="16" spans="1:15" x14ac:dyDescent="0.3">
      <c r="A16">
        <v>6.2186773400537749</v>
      </c>
      <c r="B16">
        <v>4.6095609709008029E-3</v>
      </c>
      <c r="C16">
        <v>1.6064524053199165E-3</v>
      </c>
      <c r="D16">
        <v>6.4146573612206851E-3</v>
      </c>
      <c r="E16">
        <v>1.6864288942211321E-4</v>
      </c>
      <c r="F16">
        <v>7.5113060366245191E-3</v>
      </c>
      <c r="G16">
        <v>3.5478994011238073E-4</v>
      </c>
      <c r="H16">
        <v>1.5651581947511931E-2</v>
      </c>
      <c r="I16">
        <v>6.0838885862654147E-3</v>
      </c>
      <c r="J16">
        <v>2.5324768732679461E-4</v>
      </c>
      <c r="K16">
        <v>4.0361627111131635E-5</v>
      </c>
      <c r="L16">
        <v>8.0298932943808656E-4</v>
      </c>
      <c r="M16">
        <v>1.971611342368423E-3</v>
      </c>
      <c r="N16">
        <v>1.6049671862209921E-4</v>
      </c>
      <c r="O16">
        <v>60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8"/>
  <dimension ref="A1:O16"/>
  <sheetViews>
    <sheetView workbookViewId="0">
      <selection activeCell="A2" sqref="A2:O16"/>
    </sheetView>
  </sheetViews>
  <sheetFormatPr defaultRowHeight="14.4" x14ac:dyDescent="0.3"/>
  <sheetData>
    <row r="1" spans="1:15" x14ac:dyDescent="0.3">
      <c r="A1" t="s">
        <v>9</v>
      </c>
    </row>
    <row r="2" spans="1:15" x14ac:dyDescent="0.3">
      <c r="A2">
        <f t="array" ref="A2:O16">MINVERSE('Matrix (R)^t.(R)'!$A$2:$O$16)</f>
        <v>4193354932.7915416</v>
      </c>
      <c r="B2">
        <v>-14194583392643.045</v>
      </c>
      <c r="C2">
        <v>2360654701541.3403</v>
      </c>
      <c r="D2">
        <v>-41746113719000.586</v>
      </c>
      <c r="E2">
        <v>-247979964324299.63</v>
      </c>
      <c r="F2">
        <v>49819980607.047272</v>
      </c>
      <c r="G2">
        <v>34125680449833.715</v>
      </c>
      <c r="H2">
        <v>-577099297018.79553</v>
      </c>
      <c r="I2">
        <v>-1136210598796.9646</v>
      </c>
      <c r="J2">
        <v>75452455979770.828</v>
      </c>
      <c r="K2">
        <v>514702288307332.38</v>
      </c>
      <c r="L2">
        <v>275228545416930.19</v>
      </c>
      <c r="M2">
        <v>-13446785940457.908</v>
      </c>
      <c r="N2">
        <v>707595259698411.25</v>
      </c>
      <c r="O2">
        <v>11484268.118504297</v>
      </c>
    </row>
    <row r="3" spans="1:15" x14ac:dyDescent="0.3">
      <c r="A3">
        <v>-14194532200520.061</v>
      </c>
      <c r="B3">
        <v>6.09650696151498E+16</v>
      </c>
      <c r="C3">
        <v>-2.9643122528027824E+16</v>
      </c>
      <c r="D3">
        <v>1.5607405071107117E+17</v>
      </c>
      <c r="E3">
        <v>8.9128477034888781E+17</v>
      </c>
      <c r="F3">
        <v>-3784883106355168</v>
      </c>
      <c r="G3">
        <v>-1.2149858923541638E+17</v>
      </c>
      <c r="H3">
        <v>3996517646710223.5</v>
      </c>
      <c r="I3">
        <v>5701320320916338</v>
      </c>
      <c r="J3">
        <v>-2.8318381733481994E+17</v>
      </c>
      <c r="K3">
        <v>-1.6174494024646597E+18</v>
      </c>
      <c r="L3">
        <v>-1.0700086695831575E+18</v>
      </c>
      <c r="M3">
        <v>4.8520631217165576E+16</v>
      </c>
      <c r="N3">
        <v>-2.5797078658301E+18</v>
      </c>
      <c r="O3">
        <v>-128805814677.63689</v>
      </c>
    </row>
    <row r="4" spans="1:15" x14ac:dyDescent="0.3">
      <c r="A4">
        <v>2360565564964.1006</v>
      </c>
      <c r="B4">
        <v>-2.9642849109138008E+16</v>
      </c>
      <c r="C4">
        <v>3.9326485132613304E+16</v>
      </c>
      <c r="D4">
        <v>-4.872832835483648E+16</v>
      </c>
      <c r="E4">
        <v>-2.1911007111305594E+17</v>
      </c>
      <c r="F4">
        <v>6330017068780528</v>
      </c>
      <c r="G4">
        <v>3.4709672287494088E+16</v>
      </c>
      <c r="H4">
        <v>-3738220548531046.5</v>
      </c>
      <c r="I4">
        <v>-4078723377324223.5</v>
      </c>
      <c r="J4">
        <v>6.9124163403955E+16</v>
      </c>
      <c r="K4">
        <v>9716863472893410</v>
      </c>
      <c r="L4">
        <v>3.9051529844002138E+17</v>
      </c>
      <c r="M4">
        <v>-1.2260677371001734E+16</v>
      </c>
      <c r="N4">
        <v>7.163125827566217E+17</v>
      </c>
      <c r="O4">
        <v>158400676900.06213</v>
      </c>
    </row>
    <row r="5" spans="1:15" x14ac:dyDescent="0.3">
      <c r="A5">
        <v>-41746054482655.281</v>
      </c>
      <c r="B5">
        <v>1.5607436135166099E+17</v>
      </c>
      <c r="C5">
        <v>-4.8729185624413424E+16</v>
      </c>
      <c r="D5">
        <v>4.3383487528541805E+17</v>
      </c>
      <c r="E5">
        <v>2.5116054276599055E+18</v>
      </c>
      <c r="F5">
        <v>-4445707721309269</v>
      </c>
      <c r="G5">
        <v>-3.4967148757302835E+17</v>
      </c>
      <c r="H5">
        <v>8003950963807814</v>
      </c>
      <c r="I5">
        <v>1.3620850410909238E+16</v>
      </c>
      <c r="J5">
        <v>-7.7600951812116352E+17</v>
      </c>
      <c r="K5">
        <v>-4.8658706668536074E+18</v>
      </c>
      <c r="L5">
        <v>-2.9048431144797542E+18</v>
      </c>
      <c r="M5">
        <v>1.368606983463416E+17</v>
      </c>
      <c r="N5">
        <v>-7.2915700204296735E+18</v>
      </c>
      <c r="O5">
        <v>-213192928125.54514</v>
      </c>
    </row>
    <row r="6" spans="1:15" x14ac:dyDescent="0.3">
      <c r="A6">
        <v>-247979782363637.56</v>
      </c>
      <c r="B6">
        <v>8.9128716598009075E+17</v>
      </c>
      <c r="C6">
        <v>-2.1911521390987747E+17</v>
      </c>
      <c r="D6">
        <v>2.5116070950829885E+18</v>
      </c>
      <c r="E6">
        <v>1.520297499877537E+19</v>
      </c>
      <c r="F6">
        <v>-1.991160020971684E+16</v>
      </c>
      <c r="G6">
        <v>-1.9042653127054761E+18</v>
      </c>
      <c r="H6">
        <v>4.4920657007742624E+16</v>
      </c>
      <c r="I6">
        <v>7.1328883757817632E+16</v>
      </c>
      <c r="J6">
        <v>-4.8863672557917276E+18</v>
      </c>
      <c r="K6">
        <v>-3.2528762357780083E+19</v>
      </c>
      <c r="L6">
        <v>-1.6756814514476317E+19</v>
      </c>
      <c r="M6">
        <v>8.1868140538238746E+17</v>
      </c>
      <c r="N6">
        <v>-4.1986981828510794E+19</v>
      </c>
      <c r="O6">
        <v>-1176687001269.8657</v>
      </c>
    </row>
    <row r="7" spans="1:15" x14ac:dyDescent="0.3">
      <c r="A7">
        <v>49804609640.922813</v>
      </c>
      <c r="B7">
        <v>-3784831068752420</v>
      </c>
      <c r="C7">
        <v>6330008549009847</v>
      </c>
      <c r="D7">
        <v>-4445554216534992</v>
      </c>
      <c r="E7">
        <v>-1.99106965911521E+16</v>
      </c>
      <c r="F7">
        <v>1318368673172097.3</v>
      </c>
      <c r="G7">
        <v>7767747317846155</v>
      </c>
      <c r="H7">
        <v>-570933786017486.75</v>
      </c>
      <c r="I7">
        <v>-867587115435715.75</v>
      </c>
      <c r="J7">
        <v>-2046510160550712.3</v>
      </c>
      <c r="K7">
        <v>8481185591660320</v>
      </c>
      <c r="L7">
        <v>3.9563369582325736E+16</v>
      </c>
      <c r="M7">
        <v>-1103748363875604.1</v>
      </c>
      <c r="N7">
        <v>5.8754033168777568E+16</v>
      </c>
      <c r="O7">
        <v>25856634649.350677</v>
      </c>
    </row>
    <row r="8" spans="1:15" x14ac:dyDescent="0.3">
      <c r="A8">
        <v>34125628524180.824</v>
      </c>
      <c r="B8">
        <v>-1.2149882640109754E+17</v>
      </c>
      <c r="C8">
        <v>3.4710362652551448E+16</v>
      </c>
      <c r="D8">
        <v>-3.4967144676060109E+17</v>
      </c>
      <c r="E8">
        <v>-1.9042637432426094E+18</v>
      </c>
      <c r="F8">
        <v>7767871798310178</v>
      </c>
      <c r="G8">
        <v>5.3627950326405549E+17</v>
      </c>
      <c r="H8">
        <v>-3351994446675782.5</v>
      </c>
      <c r="I8">
        <v>-2.0632098255935456E+16</v>
      </c>
      <c r="J8">
        <v>1.4702676400800045E+17</v>
      </c>
      <c r="K8">
        <v>3.6415045135473034E+18</v>
      </c>
      <c r="L8">
        <v>2.2602528723359096E+18</v>
      </c>
      <c r="M8">
        <v>-1.0731770683892403E+17</v>
      </c>
      <c r="N8">
        <v>6.2066838348111206E+18</v>
      </c>
      <c r="O8">
        <v>31378379765.637287</v>
      </c>
    </row>
    <row r="9" spans="1:15" x14ac:dyDescent="0.3">
      <c r="A9">
        <v>-577091446341.3866</v>
      </c>
      <c r="B9">
        <v>3996498061901063.5</v>
      </c>
      <c r="C9">
        <v>-3738228373035489.5</v>
      </c>
      <c r="D9">
        <v>8003880657982623</v>
      </c>
      <c r="E9">
        <v>4.492021997905444E+16</v>
      </c>
      <c r="F9">
        <v>-570935878056529.38</v>
      </c>
      <c r="G9">
        <v>-3351938030003396</v>
      </c>
      <c r="H9">
        <v>436458859274863.31</v>
      </c>
      <c r="I9">
        <v>388595729081964.5</v>
      </c>
      <c r="J9">
        <v>-1.931340657661706E+16</v>
      </c>
      <c r="K9">
        <v>-6.9657227069838384E+16</v>
      </c>
      <c r="L9">
        <v>-5.9705010017297704E+16</v>
      </c>
      <c r="M9">
        <v>2409986098546910.5</v>
      </c>
      <c r="N9">
        <v>-1.2155234396989269E+17</v>
      </c>
      <c r="O9">
        <v>-17686624431.152012</v>
      </c>
    </row>
    <row r="10" spans="1:15" x14ac:dyDescent="0.3">
      <c r="A10">
        <v>-1136202100413.5334</v>
      </c>
      <c r="B10">
        <v>5701305265852202</v>
      </c>
      <c r="C10">
        <v>-4078742539363596.5</v>
      </c>
      <c r="D10">
        <v>1.3620781392168598E+16</v>
      </c>
      <c r="E10">
        <v>7.1328433805256072E+16</v>
      </c>
      <c r="F10">
        <v>-867591244063357.88</v>
      </c>
      <c r="G10">
        <v>-2.0632042993870104E+16</v>
      </c>
      <c r="H10">
        <v>388596685339332.5</v>
      </c>
      <c r="I10">
        <v>1142443204098246.8</v>
      </c>
      <c r="J10">
        <v>-5951206162270946</v>
      </c>
      <c r="K10">
        <v>-1.355147410698337E+17</v>
      </c>
      <c r="L10">
        <v>-9.2131776747869616E+16</v>
      </c>
      <c r="M10">
        <v>4046575681754808</v>
      </c>
      <c r="N10">
        <v>-2.332876890264367E+17</v>
      </c>
      <c r="O10">
        <v>-13981434278.708569</v>
      </c>
    </row>
    <row r="11" spans="1:15" x14ac:dyDescent="0.3">
      <c r="A11">
        <v>75452426425458.766</v>
      </c>
      <c r="B11">
        <v>-2.8318465216655949E+17</v>
      </c>
      <c r="C11">
        <v>6.9125774431251664E+16</v>
      </c>
      <c r="D11">
        <v>-7.7601030458438963E+17</v>
      </c>
      <c r="E11">
        <v>-4.8863688177237187E+18</v>
      </c>
      <c r="F11">
        <v>-2046230497624350.3</v>
      </c>
      <c r="G11">
        <v>1.470274634005015E+17</v>
      </c>
      <c r="H11">
        <v>-1.9313545685148168E+16</v>
      </c>
      <c r="I11">
        <v>-5951351841622152</v>
      </c>
      <c r="J11">
        <v>2.4198025699582623E+18</v>
      </c>
      <c r="K11">
        <v>1.0859429868331966E+19</v>
      </c>
      <c r="L11">
        <v>5.2877970609774684E+18</v>
      </c>
      <c r="M11">
        <v>-2.5872319199697776E+17</v>
      </c>
      <c r="N11">
        <v>1.2493644547223779E+19</v>
      </c>
      <c r="O11">
        <v>607369628172.02893</v>
      </c>
    </row>
    <row r="12" spans="1:15" x14ac:dyDescent="0.3">
      <c r="A12">
        <v>514703047768111.38</v>
      </c>
      <c r="B12">
        <v>-1.6174581694362703E+18</v>
      </c>
      <c r="C12">
        <v>9728066686234774</v>
      </c>
      <c r="D12">
        <v>-4.8658854115089654E+18</v>
      </c>
      <c r="E12">
        <v>-3.2528829196725113E+19</v>
      </c>
      <c r="F12">
        <v>8483040590329747</v>
      </c>
      <c r="G12">
        <v>3.6415166886660721E+18</v>
      </c>
      <c r="H12">
        <v>-6.965828270694424E+16</v>
      </c>
      <c r="I12">
        <v>-1.3551596070585987E+17</v>
      </c>
      <c r="J12">
        <v>1.0859447703603347E+19</v>
      </c>
      <c r="K12">
        <v>8.9954061336017437E+19</v>
      </c>
      <c r="L12">
        <v>3.1527799181003158E+19</v>
      </c>
      <c r="M12">
        <v>-1.7253261957813568E+18</v>
      </c>
      <c r="N12">
        <v>8.1651599445265269E+19</v>
      </c>
      <c r="O12">
        <v>1611667215502.8975</v>
      </c>
    </row>
    <row r="13" spans="1:15" x14ac:dyDescent="0.3">
      <c r="A13">
        <v>275227988240700.06</v>
      </c>
      <c r="B13">
        <v>-1.0700101495390291E+18</v>
      </c>
      <c r="C13">
        <v>3.9052085138853766E+17</v>
      </c>
      <c r="D13">
        <v>-2.9048414462844764E+18</v>
      </c>
      <c r="E13">
        <v>-1.675679369323194E+19</v>
      </c>
      <c r="F13">
        <v>3.9564380381107656E+16</v>
      </c>
      <c r="G13">
        <v>2.2602517989401475E+18</v>
      </c>
      <c r="H13">
        <v>-5.9705450056139792E+16</v>
      </c>
      <c r="I13">
        <v>-9.2132186538404144E+16</v>
      </c>
      <c r="J13">
        <v>5.2877888163345039E+18</v>
      </c>
      <c r="K13">
        <v>3.1527681760449901E+19</v>
      </c>
      <c r="L13">
        <v>1.9613195813633921E+19</v>
      </c>
      <c r="M13">
        <v>-9.1204671040864883E+17</v>
      </c>
      <c r="N13">
        <v>4.8497321083615437E+19</v>
      </c>
      <c r="O13">
        <v>1708056318040.9075</v>
      </c>
    </row>
    <row r="14" spans="1:15" x14ac:dyDescent="0.3">
      <c r="A14">
        <v>-13446775264638.578</v>
      </c>
      <c r="B14">
        <v>4.852075900008772E+16</v>
      </c>
      <c r="C14">
        <v>-1.2260956867179236E+16</v>
      </c>
      <c r="D14">
        <v>1.3686078139723394E+17</v>
      </c>
      <c r="E14">
        <v>8.186813603347031E+17</v>
      </c>
      <c r="F14">
        <v>-1103797559375542.8</v>
      </c>
      <c r="G14">
        <v>-1.0731778610354947E+17</v>
      </c>
      <c r="H14">
        <v>2410009784093925.5</v>
      </c>
      <c r="I14">
        <v>4046599982376733</v>
      </c>
      <c r="J14">
        <v>-2.5872309304229555E+17</v>
      </c>
      <c r="K14">
        <v>-1.7253224695781824E+18</v>
      </c>
      <c r="L14">
        <v>-9.1204779279926093E+17</v>
      </c>
      <c r="M14">
        <v>4.4335115697479048E+16</v>
      </c>
      <c r="N14">
        <v>-2.2956348264748805E+18</v>
      </c>
      <c r="O14">
        <v>-62366167258.828232</v>
      </c>
    </row>
    <row r="15" spans="1:15" x14ac:dyDescent="0.3">
      <c r="A15">
        <v>707594510775186.63</v>
      </c>
      <c r="B15">
        <v>-2.5797140124663844E+18</v>
      </c>
      <c r="C15">
        <v>7.1632728531553933E+17</v>
      </c>
      <c r="D15">
        <v>-7.2915725880673905E+18</v>
      </c>
      <c r="E15">
        <v>-4.1986968663117775E+19</v>
      </c>
      <c r="F15">
        <v>5.8756641135541096E+16</v>
      </c>
      <c r="G15">
        <v>6.2066866056833526E+18</v>
      </c>
      <c r="H15">
        <v>-1.2155357343790096E+17</v>
      </c>
      <c r="I15">
        <v>-2.3328893121553453E+17</v>
      </c>
      <c r="J15">
        <v>1.2493635896970373E+19</v>
      </c>
      <c r="K15">
        <v>8.1651380502619701E+19</v>
      </c>
      <c r="L15">
        <v>4.849736631545235E+19</v>
      </c>
      <c r="M15">
        <v>-2.2956342407169316E+18</v>
      </c>
      <c r="N15">
        <v>1.2347877124594013E+20</v>
      </c>
      <c r="O15">
        <v>2969527534350.1914</v>
      </c>
    </row>
    <row r="16" spans="1:15" x14ac:dyDescent="0.3">
      <c r="A16">
        <v>11483922.158962324</v>
      </c>
      <c r="B16">
        <v>-128804779879.56987</v>
      </c>
      <c r="C16">
        <v>158400722564.35217</v>
      </c>
      <c r="D16">
        <v>-213189631062.47543</v>
      </c>
      <c r="E16">
        <v>-1176667134938.7395</v>
      </c>
      <c r="F16">
        <v>25856675191.18235</v>
      </c>
      <c r="G16">
        <v>31375715268.936882</v>
      </c>
      <c r="H16">
        <v>-17686598129.642433</v>
      </c>
      <c r="I16">
        <v>-13981363437.897697</v>
      </c>
      <c r="J16">
        <v>607363406241.45374</v>
      </c>
      <c r="K16">
        <v>1611623253034.9824</v>
      </c>
      <c r="L16">
        <v>1708035057929.1167</v>
      </c>
      <c r="M16">
        <v>-62365087750.132721</v>
      </c>
      <c r="N16">
        <v>2969470833922.2661</v>
      </c>
      <c r="O16">
        <v>772331.64019483991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9"/>
  <dimension ref="A1:BH16"/>
  <sheetViews>
    <sheetView workbookViewId="0">
      <selection activeCell="A2" sqref="A2:BH16"/>
    </sheetView>
  </sheetViews>
  <sheetFormatPr defaultRowHeight="14.4" x14ac:dyDescent="0.3"/>
  <sheetData>
    <row r="1" spans="1:60" x14ac:dyDescent="0.3">
      <c r="A1" t="s">
        <v>10</v>
      </c>
    </row>
    <row r="2" spans="1:60" x14ac:dyDescent="0.3">
      <c r="A2">
        <f t="array" ref="A2:BH16">MMULT('Matrix ((R)^t.(R))^(-1)'!$A$2:$O$16,'Matrix (R)^t'!$A$2:$BH$16)</f>
        <v>14848.364109765738</v>
      </c>
      <c r="B2">
        <v>-22463.973056543618</v>
      </c>
      <c r="C2">
        <v>2557.3535454384983</v>
      </c>
      <c r="D2">
        <v>-8862.1431114561856</v>
      </c>
      <c r="E2">
        <v>1639.2349093072116</v>
      </c>
      <c r="F2">
        <v>-11389.827167261392</v>
      </c>
      <c r="G2">
        <v>25085.687580835074</v>
      </c>
      <c r="H2">
        <v>-3780.5096893198788</v>
      </c>
      <c r="I2">
        <v>-5146.210510481149</v>
      </c>
      <c r="J2">
        <v>5908.5641830079257</v>
      </c>
      <c r="K2">
        <v>4169.412953864783</v>
      </c>
      <c r="L2">
        <v>-9098.9259312041104</v>
      </c>
      <c r="M2">
        <v>-2033.0564114935696</v>
      </c>
      <c r="N2">
        <v>10106.374978791922</v>
      </c>
      <c r="O2">
        <v>-17239.208199966699</v>
      </c>
      <c r="P2">
        <v>14885.367941152304</v>
      </c>
      <c r="Q2">
        <v>-14517.833131778985</v>
      </c>
      <c r="R2">
        <v>-6112.6196021921933</v>
      </c>
      <c r="S2">
        <v>3636.9200992695987</v>
      </c>
      <c r="T2">
        <v>-2776.0853254683316</v>
      </c>
      <c r="U2">
        <v>-4504.0695307143033</v>
      </c>
      <c r="V2">
        <v>-11152.213332165033</v>
      </c>
      <c r="W2">
        <v>1121.2489407174289</v>
      </c>
      <c r="X2">
        <v>-14002.055014360696</v>
      </c>
      <c r="Y2">
        <v>-2744.9639048464596</v>
      </c>
      <c r="Z2">
        <v>-16194.772653806955</v>
      </c>
      <c r="AA2">
        <v>9949.7122545354068</v>
      </c>
      <c r="AB2">
        <v>-1956.8475832827389</v>
      </c>
      <c r="AC2">
        <v>-2135.518368948251</v>
      </c>
      <c r="AD2">
        <v>-4952.3126928694546</v>
      </c>
      <c r="AE2">
        <v>1479.5374753586948</v>
      </c>
      <c r="AF2">
        <v>4447.5902302376926</v>
      </c>
      <c r="AG2">
        <v>1025.8177180401981</v>
      </c>
      <c r="AH2">
        <v>-6946.7101638205349</v>
      </c>
      <c r="AI2">
        <v>395.21084071323276</v>
      </c>
      <c r="AJ2">
        <v>-5814.8230545409024</v>
      </c>
      <c r="AK2">
        <v>2223.5946502797306</v>
      </c>
      <c r="AL2">
        <v>3624.0748360268772</v>
      </c>
      <c r="AM2">
        <v>3288.3905468098819</v>
      </c>
      <c r="AN2">
        <v>12000.190962802619</v>
      </c>
      <c r="AO2">
        <v>-887.77592729404569</v>
      </c>
      <c r="AP2">
        <v>3719.6649911515415</v>
      </c>
      <c r="AQ2">
        <v>9034.7281329743564</v>
      </c>
      <c r="AR2">
        <v>-8117.6384718306363</v>
      </c>
      <c r="AS2">
        <v>-2688.5466022379696</v>
      </c>
      <c r="AT2">
        <v>-1470.4050702936947</v>
      </c>
      <c r="AU2">
        <v>9012.7029743306339</v>
      </c>
      <c r="AV2">
        <v>8705.1246738545597</v>
      </c>
      <c r="AW2">
        <v>1320.7083258740604</v>
      </c>
      <c r="AX2">
        <v>2677.2213184945285</v>
      </c>
      <c r="AY2">
        <v>7935.991273175925</v>
      </c>
      <c r="AZ2">
        <v>8442.2310450188816</v>
      </c>
      <c r="BA2">
        <v>1681.6676292531192</v>
      </c>
      <c r="BB2">
        <v>2281.9718873612583</v>
      </c>
      <c r="BC2">
        <v>1266.0176534764469</v>
      </c>
      <c r="BD2">
        <v>-1590.7223820574582</v>
      </c>
      <c r="BE2">
        <v>-846.57390116527677</v>
      </c>
      <c r="BF2">
        <v>1600.2675631158054</v>
      </c>
      <c r="BG2">
        <v>4677.6969916932285</v>
      </c>
      <c r="BH2">
        <v>4677.6969916932285</v>
      </c>
    </row>
    <row r="3" spans="1:60" x14ac:dyDescent="0.3">
      <c r="A3">
        <v>-46737891.79850769</v>
      </c>
      <c r="B3">
        <v>74084732.272293091</v>
      </c>
      <c r="C3">
        <v>-21621153.718917847</v>
      </c>
      <c r="D3">
        <v>13971218.031082153</v>
      </c>
      <c r="E3">
        <v>-32896597.867355347</v>
      </c>
      <c r="F3">
        <v>49309468.492996216</v>
      </c>
      <c r="G3">
        <v>-68575595.843917847</v>
      </c>
      <c r="H3">
        <v>18363095.99446106</v>
      </c>
      <c r="I3">
        <v>19024769.829910278</v>
      </c>
      <c r="J3">
        <v>-45686188.642745972</v>
      </c>
      <c r="K3">
        <v>6569168.5154571533</v>
      </c>
      <c r="L3">
        <v>65923953.716629028</v>
      </c>
      <c r="M3">
        <v>-4274707.1407928467</v>
      </c>
      <c r="N3">
        <v>-51677108.602706909</v>
      </c>
      <c r="O3">
        <v>26871963.417800903</v>
      </c>
      <c r="P3">
        <v>-54588034.594894409</v>
      </c>
      <c r="Q3">
        <v>85985558.025222778</v>
      </c>
      <c r="R3">
        <v>52374211.578933716</v>
      </c>
      <c r="S3">
        <v>-21213853.811691284</v>
      </c>
      <c r="T3">
        <v>1959298.0896759033</v>
      </c>
      <c r="U3">
        <v>-8069677.0216522217</v>
      </c>
      <c r="V3">
        <v>34266855.117996216</v>
      </c>
      <c r="W3">
        <v>-25442668.668136597</v>
      </c>
      <c r="X3">
        <v>42718400.216629028</v>
      </c>
      <c r="Y3">
        <v>6492183.8113555908</v>
      </c>
      <c r="Z3">
        <v>79504782.980300903</v>
      </c>
      <c r="AA3">
        <v>-25357089.376144409</v>
      </c>
      <c r="AB3">
        <v>2956317.5730743408</v>
      </c>
      <c r="AC3">
        <v>-18855527.768722534</v>
      </c>
      <c r="AD3">
        <v>8685429.1551055908</v>
      </c>
      <c r="AE3">
        <v>7269818.4646759033</v>
      </c>
      <c r="AF3">
        <v>-5606046.2970428467</v>
      </c>
      <c r="AG3">
        <v>10236452.992019653</v>
      </c>
      <c r="AH3">
        <v>49556265.180496216</v>
      </c>
      <c r="AI3">
        <v>-19517835.249191284</v>
      </c>
      <c r="AJ3">
        <v>-5458933.6105194092</v>
      </c>
      <c r="AK3">
        <v>-8538143.0030975342</v>
      </c>
      <c r="AL3">
        <v>-5617439.8937225342</v>
      </c>
      <c r="AM3">
        <v>-1218126.9308319092</v>
      </c>
      <c r="AN3">
        <v>-34835308.777511597</v>
      </c>
      <c r="AO3">
        <v>-24136.67692565918</v>
      </c>
      <c r="AP3">
        <v>-14672977.941574097</v>
      </c>
      <c r="AQ3">
        <v>-32266755.456222534</v>
      </c>
      <c r="AR3">
        <v>24393834.036941528</v>
      </c>
      <c r="AS3">
        <v>1671314.0769805908</v>
      </c>
      <c r="AT3">
        <v>6856914.0252227783</v>
      </c>
      <c r="AU3">
        <v>-24282377.058761597</v>
      </c>
      <c r="AV3">
        <v>-26821823.465988159</v>
      </c>
      <c r="AW3">
        <v>205407.28010559082</v>
      </c>
      <c r="AX3">
        <v>-5628730.5685272217</v>
      </c>
      <c r="AY3">
        <v>-18981562.327316284</v>
      </c>
      <c r="AZ3">
        <v>-24387721.225753784</v>
      </c>
      <c r="BA3">
        <v>-5662237.6427459717</v>
      </c>
      <c r="BB3">
        <v>-122356.00798034668</v>
      </c>
      <c r="BC3">
        <v>-968512.84294128418</v>
      </c>
      <c r="BD3">
        <v>3862968.7234649658</v>
      </c>
      <c r="BE3">
        <v>1567026.3914337158</v>
      </c>
      <c r="BF3">
        <v>-4185115.6329803467</v>
      </c>
      <c r="BG3">
        <v>-15444588.400558472</v>
      </c>
      <c r="BH3">
        <v>-15444588.400558472</v>
      </c>
    </row>
    <row r="4" spans="1:60" x14ac:dyDescent="0.3">
      <c r="A4">
        <v>-7490211.4036865234</v>
      </c>
      <c r="B4">
        <v>7089254.0787353516</v>
      </c>
      <c r="C4">
        <v>6344965.9693603516</v>
      </c>
      <c r="D4">
        <v>18079003.800415039</v>
      </c>
      <c r="E4">
        <v>47853448.064575195</v>
      </c>
      <c r="F4">
        <v>-38637360.716430664</v>
      </c>
      <c r="G4">
        <v>-17829040.362670898</v>
      </c>
      <c r="H4">
        <v>1707376.3610839844</v>
      </c>
      <c r="I4">
        <v>-1558545.9798583984</v>
      </c>
      <c r="J4">
        <v>43357089.342407227</v>
      </c>
      <c r="K4">
        <v>-30944488.009887695</v>
      </c>
      <c r="L4">
        <v>-67712310.807006836</v>
      </c>
      <c r="M4">
        <v>13897158.334594727</v>
      </c>
      <c r="N4">
        <v>33993528.244018555</v>
      </c>
      <c r="O4">
        <v>42560613.58996582</v>
      </c>
      <c r="P4">
        <v>22421087.080688477</v>
      </c>
      <c r="Q4">
        <v>-63397692.45715332</v>
      </c>
      <c r="R4">
        <v>-70083276.633911133</v>
      </c>
      <c r="S4">
        <v>21927611.931274414</v>
      </c>
      <c r="T4">
        <v>13720987.240600586</v>
      </c>
      <c r="U4">
        <v>38102058.505493164</v>
      </c>
      <c r="V4">
        <v>-5116236.9776611328</v>
      </c>
      <c r="W4">
        <v>33307930.10168457</v>
      </c>
      <c r="X4">
        <v>-6501302.3489990234</v>
      </c>
      <c r="Y4">
        <v>8289189.0921630859</v>
      </c>
      <c r="Z4">
        <v>-55481325.032104492</v>
      </c>
      <c r="AA4">
        <v>-5390919.7860107422</v>
      </c>
      <c r="AB4">
        <v>4836415.9757080078</v>
      </c>
      <c r="AC4">
        <v>41416054.659790039</v>
      </c>
      <c r="AD4">
        <v>12344267.849731445</v>
      </c>
      <c r="AE4">
        <v>-15890544.53112793</v>
      </c>
      <c r="AF4">
        <v>-13659299.425170898</v>
      </c>
      <c r="AG4">
        <v>-22539698.421508789</v>
      </c>
      <c r="AH4">
        <v>-48324167.614135742</v>
      </c>
      <c r="AI4">
        <v>29845192.296020508</v>
      </c>
      <c r="AJ4">
        <v>35243622.816040039</v>
      </c>
      <c r="AK4">
        <v>6811602.9332275391</v>
      </c>
      <c r="AL4">
        <v>-5690123.3526611328</v>
      </c>
      <c r="AM4">
        <v>-16869479.099487305</v>
      </c>
      <c r="AN4">
        <v>-3132809.2410888672</v>
      </c>
      <c r="AO4">
        <v>5121013.6639404297</v>
      </c>
      <c r="AP4">
        <v>5218658.5418701172</v>
      </c>
      <c r="AQ4">
        <v>11740054.754516602</v>
      </c>
      <c r="AR4">
        <v>-2986445.9190673828</v>
      </c>
      <c r="AS4">
        <v>11750557.439819336</v>
      </c>
      <c r="AT4">
        <v>-2145949.4088134766</v>
      </c>
      <c r="AU4">
        <v>-2464988.0108642578</v>
      </c>
      <c r="AV4">
        <v>3086310.7110595703</v>
      </c>
      <c r="AW4">
        <v>-5029132.8265380859</v>
      </c>
      <c r="AX4">
        <v>-2946539.5916748047</v>
      </c>
      <c r="AY4">
        <v>-7348791.0740966797</v>
      </c>
      <c r="AZ4">
        <v>-270333.86853027344</v>
      </c>
      <c r="BA4">
        <v>1413364.2947998047</v>
      </c>
      <c r="BB4">
        <v>-9491850.6348876953</v>
      </c>
      <c r="BC4">
        <v>-3315434.5733642578</v>
      </c>
      <c r="BD4">
        <v>2926466.8065185547</v>
      </c>
      <c r="BE4">
        <v>2469160.0093994141</v>
      </c>
      <c r="BF4">
        <v>-24555.770141601563</v>
      </c>
      <c r="BG4">
        <v>2699411.4415283203</v>
      </c>
      <c r="BH4">
        <v>2699411.4415283203</v>
      </c>
    </row>
    <row r="5" spans="1:60" x14ac:dyDescent="0.3">
      <c r="A5">
        <v>-152264419.256073</v>
      </c>
      <c r="B5">
        <v>227073066.42752075</v>
      </c>
      <c r="C5">
        <v>-23589914.086151123</v>
      </c>
      <c r="D5">
        <v>67911901.204864502</v>
      </c>
      <c r="E5">
        <v>-46379633.500213623</v>
      </c>
      <c r="F5">
        <v>131248614.587677</v>
      </c>
      <c r="G5">
        <v>-212714034.67404175</v>
      </c>
      <c r="H5">
        <v>42541172.456817627</v>
      </c>
      <c r="I5">
        <v>52819804.318145752</v>
      </c>
      <c r="J5">
        <v>-105768858.15060425</v>
      </c>
      <c r="K5">
        <v>-20402065.740447998</v>
      </c>
      <c r="L5">
        <v>131453982.71658325</v>
      </c>
      <c r="M5">
        <v>10116813.560333252</v>
      </c>
      <c r="N5">
        <v>-115358739.7170105</v>
      </c>
      <c r="O5">
        <v>135989782.14627075</v>
      </c>
      <c r="P5">
        <v>-151614004.50216675</v>
      </c>
      <c r="Q5">
        <v>175898867.09939575</v>
      </c>
      <c r="R5">
        <v>99903555.263458252</v>
      </c>
      <c r="S5">
        <v>-49939406.670135498</v>
      </c>
      <c r="T5">
        <v>15802847.974395752</v>
      </c>
      <c r="U5">
        <v>19959936.314239502</v>
      </c>
      <c r="V5">
        <v>109238189.9548645</v>
      </c>
      <c r="W5">
        <v>-36807164.123260498</v>
      </c>
      <c r="X5">
        <v>136256214.81814575</v>
      </c>
      <c r="Y5">
        <v>21206109.622833252</v>
      </c>
      <c r="Z5">
        <v>191716432.31033325</v>
      </c>
      <c r="AA5">
        <v>-88857680.060760498</v>
      </c>
      <c r="AB5">
        <v>14974027.298614502</v>
      </c>
      <c r="AC5">
        <v>-8275321.314666748</v>
      </c>
      <c r="AD5">
        <v>41998918.841583252</v>
      </c>
      <c r="AE5">
        <v>-558978.10372924805</v>
      </c>
      <c r="AF5">
        <v>-35507597.525604248</v>
      </c>
      <c r="AG5">
        <v>5398052.782989502</v>
      </c>
      <c r="AH5">
        <v>99646384.907989502</v>
      </c>
      <c r="AI5">
        <v>-25339419.775604248</v>
      </c>
      <c r="AJ5">
        <v>32774380.152130127</v>
      </c>
      <c r="AK5">
        <v>-24948239.826385498</v>
      </c>
      <c r="AL5">
        <v>-30171947.787322998</v>
      </c>
      <c r="AM5">
        <v>-20673681.279510498</v>
      </c>
      <c r="AN5">
        <v>-114930787.5295105</v>
      </c>
      <c r="AO5">
        <v>1706495.333770752</v>
      </c>
      <c r="AP5">
        <v>-39970774.259979248</v>
      </c>
      <c r="AQ5">
        <v>-94404576.103729248</v>
      </c>
      <c r="AR5">
        <v>80331902.341583252</v>
      </c>
      <c r="AS5">
        <v>18341370.361114502</v>
      </c>
      <c r="AT5">
        <v>17279570.501739502</v>
      </c>
      <c r="AU5">
        <v>-84911792.521697998</v>
      </c>
      <c r="AV5">
        <v>-84982395.185760498</v>
      </c>
      <c r="AW5">
        <v>-8610530.513885498</v>
      </c>
      <c r="AX5">
        <v>-23349773.064666748</v>
      </c>
      <c r="AY5">
        <v>-72081056.998260498</v>
      </c>
      <c r="AZ5">
        <v>-81025219.865447998</v>
      </c>
      <c r="BA5">
        <v>-17541392.427947998</v>
      </c>
      <c r="BB5">
        <v>-14813909.424041748</v>
      </c>
      <c r="BC5">
        <v>-8564863.521697998</v>
      </c>
      <c r="BD5">
        <v>13750999.872833252</v>
      </c>
      <c r="BE5">
        <v>7523220.359161377</v>
      </c>
      <c r="BF5">
        <v>-14634249.576385498</v>
      </c>
      <c r="BG5">
        <v>-46935091.795135498</v>
      </c>
      <c r="BH5">
        <v>-46935091.795135498</v>
      </c>
    </row>
    <row r="6" spans="1:60" x14ac:dyDescent="0.3">
      <c r="A6">
        <v>-751251718.45166016</v>
      </c>
      <c r="B6">
        <v>1269876220.7124023</v>
      </c>
      <c r="C6">
        <v>-373065423.39697266</v>
      </c>
      <c r="D6">
        <v>637016831.04052734</v>
      </c>
      <c r="E6">
        <v>-181880997.63134766</v>
      </c>
      <c r="F6">
        <v>531509513.69677734</v>
      </c>
      <c r="G6">
        <v>-1649439274.1782227</v>
      </c>
      <c r="H6">
        <v>207267616.79052734</v>
      </c>
      <c r="I6">
        <v>314141680.54052734</v>
      </c>
      <c r="J6">
        <v>-302045121.02197266</v>
      </c>
      <c r="K6">
        <v>-283339375.81884766</v>
      </c>
      <c r="L6">
        <v>725598151.72802734</v>
      </c>
      <c r="M6">
        <v>-61885631.928222656</v>
      </c>
      <c r="N6">
        <v>-668783989.89697266</v>
      </c>
      <c r="O6">
        <v>910788562.10302734</v>
      </c>
      <c r="P6">
        <v>-945018689.63134766</v>
      </c>
      <c r="Q6">
        <v>1153877880.4467773</v>
      </c>
      <c r="R6">
        <v>474109706.86865234</v>
      </c>
      <c r="S6">
        <v>-135601226.14697266</v>
      </c>
      <c r="T6">
        <v>176230696.77490234</v>
      </c>
      <c r="U6">
        <v>88865540.196777344</v>
      </c>
      <c r="V6">
        <v>588107786.85302734</v>
      </c>
      <c r="W6">
        <v>-122759812.99072266</v>
      </c>
      <c r="X6">
        <v>761932732.43115234</v>
      </c>
      <c r="Y6">
        <v>246081921.05615234</v>
      </c>
      <c r="Z6">
        <v>1028656451.9936523</v>
      </c>
      <c r="AA6">
        <v>-512174974.20947266</v>
      </c>
      <c r="AB6">
        <v>50291943.118652344</v>
      </c>
      <c r="AC6">
        <v>-29517605.662597656</v>
      </c>
      <c r="AD6">
        <v>296050061.35302734</v>
      </c>
      <c r="AE6">
        <v>11276218.962402344</v>
      </c>
      <c r="AF6">
        <v>-168405907.58447266</v>
      </c>
      <c r="AG6">
        <v>2397281.0874023438</v>
      </c>
      <c r="AH6">
        <v>499424033.33740234</v>
      </c>
      <c r="AI6">
        <v>-156528100.27197266</v>
      </c>
      <c r="AJ6">
        <v>189633840.85302734</v>
      </c>
      <c r="AK6">
        <v>-99056974.178222656</v>
      </c>
      <c r="AL6">
        <v>-149178411.55322266</v>
      </c>
      <c r="AM6">
        <v>-180886635.55322266</v>
      </c>
      <c r="AN6">
        <v>-658409107.42822266</v>
      </c>
      <c r="AO6">
        <v>109964531.32177734</v>
      </c>
      <c r="AP6">
        <v>-246002223.14697266</v>
      </c>
      <c r="AQ6">
        <v>-510945780.41259766</v>
      </c>
      <c r="AR6">
        <v>401725440.99365234</v>
      </c>
      <c r="AS6">
        <v>132429665.07177734</v>
      </c>
      <c r="AT6">
        <v>134258990.72802734</v>
      </c>
      <c r="AU6">
        <v>-479548728.63134766</v>
      </c>
      <c r="AV6">
        <v>-471769452.56884766</v>
      </c>
      <c r="AW6">
        <v>-66197711.271972656</v>
      </c>
      <c r="AX6">
        <v>-135896320.49072266</v>
      </c>
      <c r="AY6">
        <v>-387033422.35009766</v>
      </c>
      <c r="AZ6">
        <v>-458163431.52197266</v>
      </c>
      <c r="BA6">
        <v>-113251604.56884766</v>
      </c>
      <c r="BB6">
        <v>-87076232.615722656</v>
      </c>
      <c r="BC6">
        <v>-40281635.178222656</v>
      </c>
      <c r="BD6">
        <v>93153713.243652344</v>
      </c>
      <c r="BE6">
        <v>51420640.118652344</v>
      </c>
      <c r="BF6">
        <v>-84315635.053222656</v>
      </c>
      <c r="BG6">
        <v>-288188248.36572266</v>
      </c>
      <c r="BH6">
        <v>-288188248.36572266</v>
      </c>
    </row>
    <row r="7" spans="1:60" x14ac:dyDescent="0.3">
      <c r="A7">
        <v>-4738272.1638031006</v>
      </c>
      <c r="B7">
        <v>7269007.092956543</v>
      </c>
      <c r="C7">
        <v>4959319.516494751</v>
      </c>
      <c r="D7">
        <v>2060824.1029663086</v>
      </c>
      <c r="E7">
        <v>3391826.3153686523</v>
      </c>
      <c r="F7">
        <v>1025712.6489868164</v>
      </c>
      <c r="G7">
        <v>-2025211.5657958984</v>
      </c>
      <c r="H7">
        <v>728929.63323974609</v>
      </c>
      <c r="I7">
        <v>554233.96142578125</v>
      </c>
      <c r="J7">
        <v>3385930.2507629395</v>
      </c>
      <c r="K7">
        <v>-7000956.745300293</v>
      </c>
      <c r="L7">
        <v>-10987346.210418701</v>
      </c>
      <c r="M7">
        <v>-1258932.8497924805</v>
      </c>
      <c r="N7">
        <v>9999832.5652160645</v>
      </c>
      <c r="O7">
        <v>6137003.3695220947</v>
      </c>
      <c r="P7">
        <v>-538948.58712768555</v>
      </c>
      <c r="Q7">
        <v>-9563849.3334503174</v>
      </c>
      <c r="R7">
        <v>-11034498.293884277</v>
      </c>
      <c r="S7">
        <v>3849614.6114501953</v>
      </c>
      <c r="T7">
        <v>4967435.1433105469</v>
      </c>
      <c r="U7">
        <v>8305178.6366577148</v>
      </c>
      <c r="V7">
        <v>468361.45002746582</v>
      </c>
      <c r="W7">
        <v>3742198.7264099121</v>
      </c>
      <c r="X7">
        <v>-1180271.2186889648</v>
      </c>
      <c r="Y7">
        <v>-767027.11685180664</v>
      </c>
      <c r="Z7">
        <v>-10577817.044311523</v>
      </c>
      <c r="AA7">
        <v>923700.46975708008</v>
      </c>
      <c r="AB7">
        <v>2151689.5587463379</v>
      </c>
      <c r="AC7">
        <v>8082236.189666748</v>
      </c>
      <c r="AD7">
        <v>1183507.7484741211</v>
      </c>
      <c r="AE7">
        <v>-4971292.680847168</v>
      </c>
      <c r="AF7">
        <v>-5563952.7637023926</v>
      </c>
      <c r="AG7">
        <v>-6374193.3417358398</v>
      </c>
      <c r="AH7">
        <v>-8406950.6627197266</v>
      </c>
      <c r="AI7">
        <v>8082451.6846313477</v>
      </c>
      <c r="AJ7">
        <v>7272585.9438476563</v>
      </c>
      <c r="AK7">
        <v>1432369.6406555176</v>
      </c>
      <c r="AL7">
        <v>31954.760375976563</v>
      </c>
      <c r="AM7">
        <v>-4663262.2724914551</v>
      </c>
      <c r="AN7">
        <v>-2094899.618927002</v>
      </c>
      <c r="AO7">
        <v>2029602.572479248</v>
      </c>
      <c r="AP7">
        <v>2215300.1924743652</v>
      </c>
      <c r="AQ7">
        <v>3028642.7485351563</v>
      </c>
      <c r="AR7">
        <v>-1088145.4084472656</v>
      </c>
      <c r="AS7">
        <v>1453016.813293457</v>
      </c>
      <c r="AT7">
        <v>578912.61714172363</v>
      </c>
      <c r="AU7">
        <v>-2152770.7740783691</v>
      </c>
      <c r="AV7">
        <v>1072614.4312744141</v>
      </c>
      <c r="AW7">
        <v>-260498.85079956055</v>
      </c>
      <c r="AX7">
        <v>212634.52825927734</v>
      </c>
      <c r="AY7">
        <v>-2574019.1795043945</v>
      </c>
      <c r="AZ7">
        <v>-1517069.4424133301</v>
      </c>
      <c r="BA7">
        <v>483005.19836425781</v>
      </c>
      <c r="BB7">
        <v>-1500243.3621520996</v>
      </c>
      <c r="BC7">
        <v>-856404.75796508789</v>
      </c>
      <c r="BD7">
        <v>571834.46728515625</v>
      </c>
      <c r="BE7">
        <v>588233.3447265625</v>
      </c>
      <c r="BF7">
        <v>-198157.92419433594</v>
      </c>
      <c r="BG7">
        <v>-172351.15496826172</v>
      </c>
      <c r="BH7">
        <v>-172351.15496826172</v>
      </c>
    </row>
    <row r="8" spans="1:60" x14ac:dyDescent="0.3">
      <c r="A8">
        <v>175239587.24666214</v>
      </c>
      <c r="B8">
        <v>-43047403.31583786</v>
      </c>
      <c r="C8">
        <v>29800469.955646515</v>
      </c>
      <c r="D8">
        <v>5734692.4380683899</v>
      </c>
      <c r="E8">
        <v>-41304184.727947235</v>
      </c>
      <c r="F8">
        <v>-87024204.16349411</v>
      </c>
      <c r="G8">
        <v>138606309.53963089</v>
      </c>
      <c r="H8">
        <v>-83976617.931072235</v>
      </c>
      <c r="I8">
        <v>-23499533.19865036</v>
      </c>
      <c r="J8">
        <v>24989305.47713089</v>
      </c>
      <c r="K8">
        <v>-112671869.81779099</v>
      </c>
      <c r="L8">
        <v>-93624144.24943161</v>
      </c>
      <c r="M8">
        <v>-206662957.10685349</v>
      </c>
      <c r="N8">
        <v>229735807.95174026</v>
      </c>
      <c r="O8">
        <v>-180990090.34513474</v>
      </c>
      <c r="P8">
        <v>19550735.77009964</v>
      </c>
      <c r="Q8">
        <v>-19663117.997478485</v>
      </c>
      <c r="R8">
        <v>-80452455.188884735</v>
      </c>
      <c r="S8">
        <v>177513024.84431839</v>
      </c>
      <c r="T8">
        <v>40982883.955646515</v>
      </c>
      <c r="U8">
        <v>-37858169.43302536</v>
      </c>
      <c r="V8">
        <v>-135785852.85099411</v>
      </c>
      <c r="W8">
        <v>-18922438.64005661</v>
      </c>
      <c r="X8">
        <v>-142396674.62052536</v>
      </c>
      <c r="Y8">
        <v>1724703.4966621399</v>
      </c>
      <c r="Z8">
        <v>-209037776.99161911</v>
      </c>
      <c r="AA8">
        <v>218264023.05916214</v>
      </c>
      <c r="AB8">
        <v>-31328247.040447235</v>
      </c>
      <c r="AC8">
        <v>-5599576.1009941101</v>
      </c>
      <c r="AD8">
        <v>-33370446.46036911</v>
      </c>
      <c r="AE8">
        <v>7875443.2681465149</v>
      </c>
      <c r="AF8">
        <v>7804526.2740058899</v>
      </c>
      <c r="AG8">
        <v>-93060730.12443161</v>
      </c>
      <c r="AH8">
        <v>-98308325.169353485</v>
      </c>
      <c r="AI8">
        <v>56904780.10994339</v>
      </c>
      <c r="AJ8">
        <v>-57748829.01115036</v>
      </c>
      <c r="AK8">
        <v>65030145.32088089</v>
      </c>
      <c r="AL8">
        <v>90962917.494709015</v>
      </c>
      <c r="AM8">
        <v>-57844984.84318161</v>
      </c>
      <c r="AN8">
        <v>94399021.959552765</v>
      </c>
      <c r="AO8">
        <v>64229106.78963089</v>
      </c>
      <c r="AP8">
        <v>51762654.53963089</v>
      </c>
      <c r="AQ8">
        <v>147158146.24666214</v>
      </c>
      <c r="AR8">
        <v>-164750881.90763474</v>
      </c>
      <c r="AS8">
        <v>-53026433.540447235</v>
      </c>
      <c r="AT8">
        <v>46206066.41072464</v>
      </c>
      <c r="AU8">
        <v>54916401.986896515</v>
      </c>
      <c r="AV8">
        <v>129325377.20955276</v>
      </c>
      <c r="AW8">
        <v>15866691.252521515</v>
      </c>
      <c r="AX8">
        <v>49153376.15681839</v>
      </c>
      <c r="AY8">
        <v>66416944.225177765</v>
      </c>
      <c r="AZ8">
        <v>55021083.350177765</v>
      </c>
      <c r="BA8">
        <v>522476.99666213989</v>
      </c>
      <c r="BB8">
        <v>32690161.412677765</v>
      </c>
      <c r="BC8">
        <v>16441698.29744339</v>
      </c>
      <c r="BD8">
        <v>-19313270.200603485</v>
      </c>
      <c r="BE8">
        <v>-3874374.2377128601</v>
      </c>
      <c r="BF8">
        <v>4512576.4068183899</v>
      </c>
      <c r="BG8">
        <v>7901290.1997871399</v>
      </c>
      <c r="BH8">
        <v>7901290.1997871399</v>
      </c>
    </row>
    <row r="9" spans="1:60" x14ac:dyDescent="0.3">
      <c r="A9">
        <v>-448070.72626113892</v>
      </c>
      <c r="B9">
        <v>2623922.9050559998</v>
      </c>
      <c r="C9">
        <v>-2293172.3273353577</v>
      </c>
      <c r="D9">
        <v>791794.59414291382</v>
      </c>
      <c r="E9">
        <v>-4692860.6525611877</v>
      </c>
      <c r="F9">
        <v>2250796.0085716248</v>
      </c>
      <c r="G9">
        <v>-2055144.7627906799</v>
      </c>
      <c r="H9">
        <v>11805.290828704834</v>
      </c>
      <c r="I9">
        <v>760060.17947006226</v>
      </c>
      <c r="J9">
        <v>-4359663.8722267151</v>
      </c>
      <c r="K9">
        <v>1083360.9570579529</v>
      </c>
      <c r="L9">
        <v>7273110.4419822693</v>
      </c>
      <c r="M9">
        <v>-3694640.0838356018</v>
      </c>
      <c r="N9">
        <v>-2750117.8503761292</v>
      </c>
      <c r="O9">
        <v>-2840179.7191810608</v>
      </c>
      <c r="P9">
        <v>-3549228.6852760315</v>
      </c>
      <c r="Q9">
        <v>9558860.9716148376</v>
      </c>
      <c r="R9">
        <v>5954194.0773582458</v>
      </c>
      <c r="S9">
        <v>-586093.26169204712</v>
      </c>
      <c r="T9">
        <v>-899472.07126235962</v>
      </c>
      <c r="U9">
        <v>-3551220.481174469</v>
      </c>
      <c r="V9">
        <v>658173.34685897827</v>
      </c>
      <c r="W9">
        <v>-3237153.8387184143</v>
      </c>
      <c r="X9">
        <v>1357627.3393821716</v>
      </c>
      <c r="Y9">
        <v>854712.70531845093</v>
      </c>
      <c r="Z9">
        <v>6036309.9309959412</v>
      </c>
      <c r="AA9">
        <v>1162812.3396263123</v>
      </c>
      <c r="AB9">
        <v>-1091202.812046051</v>
      </c>
      <c r="AC9">
        <v>-3938412.044834137</v>
      </c>
      <c r="AD9">
        <v>-336958.76889419556</v>
      </c>
      <c r="AE9">
        <v>2089726.9839134216</v>
      </c>
      <c r="AF9">
        <v>1181914.175075531</v>
      </c>
      <c r="AG9">
        <v>1329884.8930931091</v>
      </c>
      <c r="AH9">
        <v>5133703.8035545349</v>
      </c>
      <c r="AI9">
        <v>-3181521.5141944885</v>
      </c>
      <c r="AJ9">
        <v>-3576820.3554420471</v>
      </c>
      <c r="AK9">
        <v>-52384.181186676025</v>
      </c>
      <c r="AL9">
        <v>937384.23537826538</v>
      </c>
      <c r="AM9">
        <v>390649.29055404663</v>
      </c>
      <c r="AN9">
        <v>-593412.52798843384</v>
      </c>
      <c r="AO9">
        <v>185134.64925765991</v>
      </c>
      <c r="AP9">
        <v>-1086900.751499176</v>
      </c>
      <c r="AQ9">
        <v>-1120561.1336402893</v>
      </c>
      <c r="AR9">
        <v>-305812.54458999634</v>
      </c>
      <c r="AS9">
        <v>-1156083.4665870667</v>
      </c>
      <c r="AT9">
        <v>1270126.7045555115</v>
      </c>
      <c r="AU9">
        <v>-368884.28128433228</v>
      </c>
      <c r="AV9">
        <v>-226868.39920425415</v>
      </c>
      <c r="AW9">
        <v>271205.87740707397</v>
      </c>
      <c r="AX9">
        <v>467280.3278465271</v>
      </c>
      <c r="AY9">
        <v>305480.38827133179</v>
      </c>
      <c r="AZ9">
        <v>-568615.45126724243</v>
      </c>
      <c r="BA9">
        <v>-429450.58884048462</v>
      </c>
      <c r="BB9">
        <v>882883.32894515991</v>
      </c>
      <c r="BC9">
        <v>557705.21859359741</v>
      </c>
      <c r="BD9">
        <v>-97380.47342300415</v>
      </c>
      <c r="BE9">
        <v>-33421.803073883057</v>
      </c>
      <c r="BF9">
        <v>-217849.1438331604</v>
      </c>
      <c r="BG9">
        <v>-1020531.1734352112</v>
      </c>
      <c r="BH9">
        <v>-1020531.1734352112</v>
      </c>
    </row>
    <row r="10" spans="1:60" x14ac:dyDescent="0.3">
      <c r="A10">
        <v>-5406997.0900382996</v>
      </c>
      <c r="B10">
        <v>-2320595.771068573</v>
      </c>
      <c r="C10">
        <v>332574.87865066528</v>
      </c>
      <c r="D10">
        <v>878357.9525642395</v>
      </c>
      <c r="E10">
        <v>-90485.539623260498</v>
      </c>
      <c r="F10">
        <v>371369.97490310669</v>
      </c>
      <c r="G10">
        <v>-2807211.2859611511</v>
      </c>
      <c r="H10">
        <v>1849103.5844612122</v>
      </c>
      <c r="I10">
        <v>682346.47087478638</v>
      </c>
      <c r="J10">
        <v>-5104567.8827629089</v>
      </c>
      <c r="K10">
        <v>4297164.9924812317</v>
      </c>
      <c r="L10">
        <v>8667240.7871589661</v>
      </c>
      <c r="M10">
        <v>4841334.3286628723</v>
      </c>
      <c r="N10">
        <v>-10336276.469432831</v>
      </c>
      <c r="O10">
        <v>3339393.4832649231</v>
      </c>
      <c r="P10">
        <v>1241430.8837165833</v>
      </c>
      <c r="Q10">
        <v>3479124.1260261536</v>
      </c>
      <c r="R10">
        <v>8132450.9564704895</v>
      </c>
      <c r="S10">
        <v>-8033759.7277336121</v>
      </c>
      <c r="T10">
        <v>-5127450.442943573</v>
      </c>
      <c r="U10">
        <v>-2275941.9306144714</v>
      </c>
      <c r="V10">
        <v>3968710.2404060364</v>
      </c>
      <c r="W10">
        <v>-84130.094799041748</v>
      </c>
      <c r="X10">
        <v>6374625.7380867004</v>
      </c>
      <c r="Y10">
        <v>1151295.3691902161</v>
      </c>
      <c r="Z10">
        <v>13405402.580371857</v>
      </c>
      <c r="AA10">
        <v>-6591264.4284172058</v>
      </c>
      <c r="AB10">
        <v>-1687800.9062004089</v>
      </c>
      <c r="AC10">
        <v>-3723453.3338127136</v>
      </c>
      <c r="AD10">
        <v>1905118.6437263489</v>
      </c>
      <c r="AE10">
        <v>3330182.1864509583</v>
      </c>
      <c r="AF10">
        <v>2868025.5032234192</v>
      </c>
      <c r="AG10">
        <v>6720017.7405281067</v>
      </c>
      <c r="AH10">
        <v>7637920.7143440247</v>
      </c>
      <c r="AI10">
        <v>-7493112.4363517761</v>
      </c>
      <c r="AJ10">
        <v>-1557851.019908905</v>
      </c>
      <c r="AK10">
        <v>-2825828.1424064636</v>
      </c>
      <c r="AL10">
        <v>-2870949.7605705261</v>
      </c>
      <c r="AM10">
        <v>4016723.2958259583</v>
      </c>
      <c r="AN10">
        <v>-2143504.8808097839</v>
      </c>
      <c r="AO10">
        <v>-3837259.9778556824</v>
      </c>
      <c r="AP10">
        <v>-3716890.1825675964</v>
      </c>
      <c r="AQ10">
        <v>-6599742.6897697449</v>
      </c>
      <c r="AR10">
        <v>5946800.753162384</v>
      </c>
      <c r="AS10">
        <v>1143283.1229743958</v>
      </c>
      <c r="AT10">
        <v>-682126.87141036987</v>
      </c>
      <c r="AU10">
        <v>-792792.26728439331</v>
      </c>
      <c r="AV10">
        <v>-4553985.2761955261</v>
      </c>
      <c r="AW10">
        <v>-916526.42182540894</v>
      </c>
      <c r="AX10">
        <v>-1722889.7929191589</v>
      </c>
      <c r="AY10">
        <v>-678259.68098068237</v>
      </c>
      <c r="AZ10">
        <v>-1140408.6277580261</v>
      </c>
      <c r="BA10">
        <v>-812187.64643478394</v>
      </c>
      <c r="BB10">
        <v>-364535.06525802612</v>
      </c>
      <c r="BC10">
        <v>600814.49284744263</v>
      </c>
      <c r="BD10">
        <v>404173.09343338013</v>
      </c>
      <c r="BE10">
        <v>276625.85661697388</v>
      </c>
      <c r="BF10">
        <v>-28668.760692596436</v>
      </c>
      <c r="BG10">
        <v>-767081.39936447144</v>
      </c>
      <c r="BH10">
        <v>-767081.39936447144</v>
      </c>
    </row>
    <row r="11" spans="1:60" x14ac:dyDescent="0.3">
      <c r="A11">
        <v>294325421.06799316</v>
      </c>
      <c r="B11">
        <v>-697782456.13513184</v>
      </c>
      <c r="C11">
        <v>124451986.51721191</v>
      </c>
      <c r="D11">
        <v>-294736618.45544434</v>
      </c>
      <c r="E11">
        <v>204645321.48205566</v>
      </c>
      <c r="F11">
        <v>-100070081.59216309</v>
      </c>
      <c r="G11">
        <v>546969183.70861816</v>
      </c>
      <c r="H11">
        <v>-73722645.115600586</v>
      </c>
      <c r="I11">
        <v>-142652660.83825684</v>
      </c>
      <c r="J11">
        <v>253963516.26330566</v>
      </c>
      <c r="K11">
        <v>296342494.47033691</v>
      </c>
      <c r="L11">
        <v>-238939605.46325684</v>
      </c>
      <c r="M11">
        <v>414444316.84924316</v>
      </c>
      <c r="N11">
        <v>-68312742.564819336</v>
      </c>
      <c r="O11">
        <v>-148599543.79528809</v>
      </c>
      <c r="P11">
        <v>374094571.12268066</v>
      </c>
      <c r="Q11">
        <v>-583026404.13513184</v>
      </c>
      <c r="R11">
        <v>-59442997.838256836</v>
      </c>
      <c r="S11">
        <v>-164327668.65075684</v>
      </c>
      <c r="T11">
        <v>-122956136.17028809</v>
      </c>
      <c r="U11">
        <v>-25388424.736694336</v>
      </c>
      <c r="V11">
        <v>-90551368.092163086</v>
      </c>
      <c r="W11">
        <v>116205127.06799316</v>
      </c>
      <c r="X11">
        <v>-161699649.86950684</v>
      </c>
      <c r="Y11">
        <v>-147623868.15856934</v>
      </c>
      <c r="Z11">
        <v>-223497512.90075684</v>
      </c>
      <c r="AA11">
        <v>-105985746.56872559</v>
      </c>
      <c r="AB11">
        <v>46224472.196899414</v>
      </c>
      <c r="AC11">
        <v>27935365.747680664</v>
      </c>
      <c r="AD11">
        <v>-106936814.27575684</v>
      </c>
      <c r="AE11">
        <v>-46359474.576538086</v>
      </c>
      <c r="AF11">
        <v>93095772.622680664</v>
      </c>
      <c r="AG11">
        <v>131242454.66955566</v>
      </c>
      <c r="AH11">
        <v>-144954261.05700684</v>
      </c>
      <c r="AI11">
        <v>20067271.880493164</v>
      </c>
      <c r="AJ11">
        <v>17741925.845336914</v>
      </c>
      <c r="AK11">
        <v>-63539704.014038086</v>
      </c>
      <c r="AL11">
        <v>-79363273.021850586</v>
      </c>
      <c r="AM11">
        <v>188668848.38439941</v>
      </c>
      <c r="AN11">
        <v>202127093.18518066</v>
      </c>
      <c r="AO11">
        <v>-116206542.94763184</v>
      </c>
      <c r="AP11">
        <v>63719252.396118164</v>
      </c>
      <c r="AQ11">
        <v>25828502.314086914</v>
      </c>
      <c r="AR11">
        <v>52883823.567993164</v>
      </c>
      <c r="AS11">
        <v>17652689.853149414</v>
      </c>
      <c r="AT11">
        <v>-170566328.35778809</v>
      </c>
      <c r="AU11">
        <v>152624597.01721191</v>
      </c>
      <c r="AV11">
        <v>22451006.970336914</v>
      </c>
      <c r="AW11">
        <v>3650742.2554931641</v>
      </c>
      <c r="AX11">
        <v>-25281513.541381836</v>
      </c>
      <c r="AY11">
        <v>98983740.435180664</v>
      </c>
      <c r="AZ11">
        <v>147205767.40393066</v>
      </c>
      <c r="BA11">
        <v>51940694.400024414</v>
      </c>
      <c r="BB11">
        <v>-13353257.076538086</v>
      </c>
      <c r="BC11">
        <v>-26248670.099975586</v>
      </c>
      <c r="BD11">
        <v>-26821616.807006836</v>
      </c>
      <c r="BE11">
        <v>-32589035.326538086</v>
      </c>
      <c r="BF11">
        <v>33091643.103149414</v>
      </c>
      <c r="BG11">
        <v>139479373.56799316</v>
      </c>
      <c r="BH11">
        <v>139479373.56799316</v>
      </c>
    </row>
    <row r="12" spans="1:60" x14ac:dyDescent="0.3">
      <c r="A12">
        <v>1652104588.1943359</v>
      </c>
      <c r="B12">
        <v>-1907472020.8837891</v>
      </c>
      <c r="C12">
        <v>1362183208.7412109</v>
      </c>
      <c r="D12">
        <v>-3148702162.2900391</v>
      </c>
      <c r="E12">
        <v>-273466530.75878906</v>
      </c>
      <c r="F12">
        <v>1004131559.0537109</v>
      </c>
      <c r="G12">
        <v>5008600447.6474609</v>
      </c>
      <c r="H12">
        <v>-361895129.68066406</v>
      </c>
      <c r="I12">
        <v>-624542166.16503906</v>
      </c>
      <c r="J12">
        <v>-391699160.60253906</v>
      </c>
      <c r="K12">
        <v>1512803673.2099609</v>
      </c>
      <c r="L12">
        <v>-1306137070.4150391</v>
      </c>
      <c r="M12">
        <v>842113510.36621094</v>
      </c>
      <c r="N12">
        <v>1211818339.4287109</v>
      </c>
      <c r="O12">
        <v>-2796409096.5400391</v>
      </c>
      <c r="P12">
        <v>1333088372.7724609</v>
      </c>
      <c r="Q12">
        <v>-2386089694.4775391</v>
      </c>
      <c r="R12">
        <v>35343605.459960938</v>
      </c>
      <c r="S12">
        <v>68280320.522460938</v>
      </c>
      <c r="T12">
        <v>-391758544.22753906</v>
      </c>
      <c r="U12">
        <v>-280446088.88378906</v>
      </c>
      <c r="V12">
        <v>-1041461065.9775391</v>
      </c>
      <c r="W12">
        <v>-780730463.88378906</v>
      </c>
      <c r="X12">
        <v>-1470397880.5712891</v>
      </c>
      <c r="Y12">
        <v>-1381706576.0712891</v>
      </c>
      <c r="Z12">
        <v>-1818989853.3525391</v>
      </c>
      <c r="AA12">
        <v>1329611442.5537109</v>
      </c>
      <c r="AB12">
        <v>429115732.99121094</v>
      </c>
      <c r="AC12">
        <v>-122063011.85253906</v>
      </c>
      <c r="AD12">
        <v>-1149651103.8525391</v>
      </c>
      <c r="AE12">
        <v>-311321962.50878906</v>
      </c>
      <c r="AF12">
        <v>26571247.647460938</v>
      </c>
      <c r="AG12">
        <v>-302017896.85253906</v>
      </c>
      <c r="AH12">
        <v>-741247547.07128906</v>
      </c>
      <c r="AI12">
        <v>877435529.92871094</v>
      </c>
      <c r="AJ12">
        <v>-459979106.50878906</v>
      </c>
      <c r="AK12">
        <v>26283269.991210938</v>
      </c>
      <c r="AL12">
        <v>339171278.49121094</v>
      </c>
      <c r="AM12">
        <v>521171993.11621094</v>
      </c>
      <c r="AN12">
        <v>1296656809.7412109</v>
      </c>
      <c r="AO12">
        <v>-365153942.38378906</v>
      </c>
      <c r="AP12">
        <v>869738117.83496094</v>
      </c>
      <c r="AQ12">
        <v>1062896362.8037109</v>
      </c>
      <c r="AR12">
        <v>-761390388.63378906</v>
      </c>
      <c r="AS12">
        <v>-598826107.91503906</v>
      </c>
      <c r="AT12">
        <v>-563266526.22753906</v>
      </c>
      <c r="AU12">
        <v>779947605.64746094</v>
      </c>
      <c r="AV12">
        <v>911590167.11621094</v>
      </c>
      <c r="AW12">
        <v>352651996.11621094</v>
      </c>
      <c r="AX12">
        <v>304406683.74121094</v>
      </c>
      <c r="AY12">
        <v>565666998.67871094</v>
      </c>
      <c r="AZ12">
        <v>788115329.83496094</v>
      </c>
      <c r="BA12">
        <v>295787075.33496094</v>
      </c>
      <c r="BB12">
        <v>264684696.02246094</v>
      </c>
      <c r="BC12">
        <v>-146495625.60253906</v>
      </c>
      <c r="BD12">
        <v>-358561310.63378906</v>
      </c>
      <c r="BE12">
        <v>-270905178.82128906</v>
      </c>
      <c r="BF12">
        <v>122128166.92871094</v>
      </c>
      <c r="BG12">
        <v>659342490.49121094</v>
      </c>
      <c r="BH12">
        <v>659342490.49121094</v>
      </c>
    </row>
    <row r="13" spans="1:60" x14ac:dyDescent="0.3">
      <c r="A13">
        <v>927792858.4855957</v>
      </c>
      <c r="B13">
        <v>-1526074979.6550293</v>
      </c>
      <c r="C13">
        <v>222541659.5480957</v>
      </c>
      <c r="D13">
        <v>-383592868.3112793</v>
      </c>
      <c r="E13">
        <v>386189058.0793457</v>
      </c>
      <c r="F13">
        <v>-946624530.9206543</v>
      </c>
      <c r="G13">
        <v>1365081349.5949707</v>
      </c>
      <c r="H13">
        <v>-269133944.8737793</v>
      </c>
      <c r="I13">
        <v>-349388058.8112793</v>
      </c>
      <c r="J13">
        <v>744377781.8449707</v>
      </c>
      <c r="K13">
        <v>96738823.891845703</v>
      </c>
      <c r="L13">
        <v>-976503163.8112793</v>
      </c>
      <c r="M13">
        <v>-28374889.639404297</v>
      </c>
      <c r="N13">
        <v>800277200.6574707</v>
      </c>
      <c r="O13">
        <v>-781243569.1081543</v>
      </c>
      <c r="P13">
        <v>1090205586.9074707</v>
      </c>
      <c r="Q13">
        <v>-1308993913.4519043</v>
      </c>
      <c r="R13">
        <v>-788973507.2487793</v>
      </c>
      <c r="S13">
        <v>294007166.9230957</v>
      </c>
      <c r="T13">
        <v>-112699174.8581543</v>
      </c>
      <c r="U13">
        <v>-31000281.498779297</v>
      </c>
      <c r="V13">
        <v>-697961943.6550293</v>
      </c>
      <c r="W13">
        <v>345281137.1262207</v>
      </c>
      <c r="X13">
        <v>-869605671.2800293</v>
      </c>
      <c r="Y13">
        <v>-120946867.6550293</v>
      </c>
      <c r="Z13">
        <v>-1313119478.7487793</v>
      </c>
      <c r="AA13">
        <v>526144240.7824707</v>
      </c>
      <c r="AB13">
        <v>-105649358.8737793</v>
      </c>
      <c r="AC13">
        <v>145996010.9074707</v>
      </c>
      <c r="AD13">
        <v>-241555678.6081543</v>
      </c>
      <c r="AE13">
        <v>-22307143.248779297</v>
      </c>
      <c r="AF13">
        <v>211505613.9074707</v>
      </c>
      <c r="AG13">
        <v>-38397614.686279297</v>
      </c>
      <c r="AH13">
        <v>-716398645.7956543</v>
      </c>
      <c r="AI13">
        <v>189621003.7355957</v>
      </c>
      <c r="AJ13">
        <v>-139081220.9831543</v>
      </c>
      <c r="AK13">
        <v>160191714.1262207</v>
      </c>
      <c r="AL13">
        <v>165233869.3293457</v>
      </c>
      <c r="AM13">
        <v>123030009.7199707</v>
      </c>
      <c r="AN13">
        <v>738639562.4230957</v>
      </c>
      <c r="AO13">
        <v>-35179192.092529297</v>
      </c>
      <c r="AP13">
        <v>249039301.8918457</v>
      </c>
      <c r="AQ13">
        <v>610304352.6418457</v>
      </c>
      <c r="AR13">
        <v>-493113613.4519043</v>
      </c>
      <c r="AS13">
        <v>-83787148.014404297</v>
      </c>
      <c r="AT13">
        <v>-117677169.8737793</v>
      </c>
      <c r="AU13">
        <v>552257856.1105957</v>
      </c>
      <c r="AV13">
        <v>543252541.4855957</v>
      </c>
      <c r="AW13">
        <v>37123018.173095703</v>
      </c>
      <c r="AX13">
        <v>141252653.6574707</v>
      </c>
      <c r="AY13">
        <v>453041062.9387207</v>
      </c>
      <c r="AZ13">
        <v>527436265.9230957</v>
      </c>
      <c r="BA13">
        <v>118956647.4855957</v>
      </c>
      <c r="BB13">
        <v>69290816.532470703</v>
      </c>
      <c r="BC13">
        <v>57315254.141845703</v>
      </c>
      <c r="BD13">
        <v>-77370968.483154297</v>
      </c>
      <c r="BE13">
        <v>-38004036.733154297</v>
      </c>
      <c r="BF13">
        <v>96198505.891845703</v>
      </c>
      <c r="BG13">
        <v>312217851.3762207</v>
      </c>
      <c r="BH13">
        <v>312217851.3762207</v>
      </c>
    </row>
    <row r="14" spans="1:60" x14ac:dyDescent="0.3">
      <c r="A14">
        <v>-47328985.551376343</v>
      </c>
      <c r="B14">
        <v>70430731.450088501</v>
      </c>
      <c r="C14">
        <v>-17242711.177352905</v>
      </c>
      <c r="D14">
        <v>33804825.285049438</v>
      </c>
      <c r="E14">
        <v>-9106515.5743255615</v>
      </c>
      <c r="F14">
        <v>29583802.374893188</v>
      </c>
      <c r="G14">
        <v>-80743238.921005249</v>
      </c>
      <c r="H14">
        <v>13055460.071182251</v>
      </c>
      <c r="I14">
        <v>15309759.290908813</v>
      </c>
      <c r="J14">
        <v>-20829785.603622437</v>
      </c>
      <c r="K14">
        <v>-13842661.534286499</v>
      </c>
      <c r="L14">
        <v>42087707.608291626</v>
      </c>
      <c r="M14">
        <v>-316785.01377868652</v>
      </c>
      <c r="N14">
        <v>-35469935.584091187</v>
      </c>
      <c r="O14">
        <v>50186998.227432251</v>
      </c>
      <c r="P14">
        <v>-50192520.019638062</v>
      </c>
      <c r="Q14">
        <v>59584449.723526001</v>
      </c>
      <c r="R14">
        <v>25469831.419815063</v>
      </c>
      <c r="S14">
        <v>-11136413.471786499</v>
      </c>
      <c r="T14">
        <v>9093629.096572876</v>
      </c>
      <c r="U14">
        <v>4397873.9745025635</v>
      </c>
      <c r="V14">
        <v>33762113.234268188</v>
      </c>
      <c r="W14">
        <v>-7093001.5430755615</v>
      </c>
      <c r="X14">
        <v>39343944.649307251</v>
      </c>
      <c r="Y14">
        <v>12694597.790908813</v>
      </c>
      <c r="Z14">
        <v>55196010.287979126</v>
      </c>
      <c r="AA14">
        <v>-30200606.818466187</v>
      </c>
      <c r="AB14">
        <v>3109085.3358306885</v>
      </c>
      <c r="AC14">
        <v>-2938485.653427124</v>
      </c>
      <c r="AD14">
        <v>16445661.596572876</v>
      </c>
      <c r="AE14">
        <v>288666.78211975098</v>
      </c>
      <c r="AF14">
        <v>-10327012.165145874</v>
      </c>
      <c r="AG14">
        <v>1950340.075088501</v>
      </c>
      <c r="AH14">
        <v>27935412.317276001</v>
      </c>
      <c r="AI14">
        <v>-9897493.323348999</v>
      </c>
      <c r="AJ14">
        <v>11703644.657119751</v>
      </c>
      <c r="AK14">
        <v>-6118627.6290130615</v>
      </c>
      <c r="AL14">
        <v>-9450828.692489624</v>
      </c>
      <c r="AM14">
        <v>-8423106.2676849365</v>
      </c>
      <c r="AN14">
        <v>-36614121.561630249</v>
      </c>
      <c r="AO14">
        <v>4123640.0838775635</v>
      </c>
      <c r="AP14">
        <v>-13616766.637802124</v>
      </c>
      <c r="AQ14">
        <v>-29453724.977645874</v>
      </c>
      <c r="AR14">
        <v>24261639.578018188</v>
      </c>
      <c r="AS14">
        <v>8178018.7596588135</v>
      </c>
      <c r="AT14">
        <v>6931592.061416626</v>
      </c>
      <c r="AU14">
        <v>-26311006.092880249</v>
      </c>
      <c r="AV14">
        <v>-26445372.387802124</v>
      </c>
      <c r="AW14">
        <v>-3760745.669052124</v>
      </c>
      <c r="AX14">
        <v>-7415342.0489349365</v>
      </c>
      <c r="AY14">
        <v>-21512056.035263062</v>
      </c>
      <c r="AZ14">
        <v>-24996615.183700562</v>
      </c>
      <c r="BA14">
        <v>-5565105.606552124</v>
      </c>
      <c r="BB14">
        <v>-5127307.1114349365</v>
      </c>
      <c r="BC14">
        <v>-1913404.2188568115</v>
      </c>
      <c r="BD14">
        <v>5536092.143447876</v>
      </c>
      <c r="BE14">
        <v>3268865.162979126</v>
      </c>
      <c r="BF14">
        <v>-4176876.2950286865</v>
      </c>
      <c r="BG14">
        <v>-15083616.996200562</v>
      </c>
      <c r="BH14">
        <v>-15083616.996200562</v>
      </c>
    </row>
    <row r="15" spans="1:60" x14ac:dyDescent="0.3">
      <c r="A15">
        <v>2873840899.8476563</v>
      </c>
      <c r="B15">
        <v>-3798907075.8710938</v>
      </c>
      <c r="C15">
        <v>235924683.47265625</v>
      </c>
      <c r="D15">
        <v>-1064673309.4960938</v>
      </c>
      <c r="E15">
        <v>695261747.69140625</v>
      </c>
      <c r="F15">
        <v>-2188227086.3085938</v>
      </c>
      <c r="G15">
        <v>3545118757.8164063</v>
      </c>
      <c r="H15">
        <v>-866970046.21484375</v>
      </c>
      <c r="I15">
        <v>-904460649.80859375</v>
      </c>
      <c r="J15">
        <v>1771704203.3164063</v>
      </c>
      <c r="K15">
        <v>245401380.87890625</v>
      </c>
      <c r="L15">
        <v>-2009104107.2460938</v>
      </c>
      <c r="M15">
        <v>-370739719.18359375</v>
      </c>
      <c r="N15">
        <v>1959851091.0664063</v>
      </c>
      <c r="O15">
        <v>-2495453808.4335938</v>
      </c>
      <c r="P15">
        <v>2296595134.6289063</v>
      </c>
      <c r="Q15">
        <v>-2595907392.4960938</v>
      </c>
      <c r="R15">
        <v>-1443331989.5585938</v>
      </c>
      <c r="S15">
        <v>1077677673.3164063</v>
      </c>
      <c r="T15">
        <v>-228806516.55859375</v>
      </c>
      <c r="U15">
        <v>-592507614.37109375</v>
      </c>
      <c r="V15">
        <v>-1936429192.7460938</v>
      </c>
      <c r="W15">
        <v>466955805.81640625</v>
      </c>
      <c r="X15">
        <v>-2365756215.1835938</v>
      </c>
      <c r="Y15">
        <v>-314670714.74609375</v>
      </c>
      <c r="Z15">
        <v>-3199412819.6210938</v>
      </c>
      <c r="AA15">
        <v>1700766646.6914063</v>
      </c>
      <c r="AB15">
        <v>-287329249.68359375</v>
      </c>
      <c r="AC15">
        <v>-42172761.68359375</v>
      </c>
      <c r="AD15">
        <v>-739476149.80859375</v>
      </c>
      <c r="AE15">
        <v>85519944.25390625</v>
      </c>
      <c r="AF15">
        <v>683011979.50390625</v>
      </c>
      <c r="AG15">
        <v>-150698920.49609375</v>
      </c>
      <c r="AH15">
        <v>-1617781859.9023438</v>
      </c>
      <c r="AI15">
        <v>379710767.69140625</v>
      </c>
      <c r="AJ15">
        <v>-711734749.96484375</v>
      </c>
      <c r="AK15">
        <v>463842282.69140625</v>
      </c>
      <c r="AL15">
        <v>600410603.81640625</v>
      </c>
      <c r="AM15">
        <v>315400609.44140625</v>
      </c>
      <c r="AN15">
        <v>1995159932.3789063</v>
      </c>
      <c r="AO15">
        <v>89159938.75390625</v>
      </c>
      <c r="AP15">
        <v>693639203.25390625</v>
      </c>
      <c r="AQ15">
        <v>1651660070.8164063</v>
      </c>
      <c r="AR15">
        <v>-1507734006.8085938</v>
      </c>
      <c r="AS15">
        <v>-398292676.24609375</v>
      </c>
      <c r="AT15">
        <v>-239978204.74609375</v>
      </c>
      <c r="AU15">
        <v>1441984216.6289063</v>
      </c>
      <c r="AV15">
        <v>1503933707.5039063</v>
      </c>
      <c r="AW15">
        <v>159211460.00390625</v>
      </c>
      <c r="AX15">
        <v>426338458.44140625</v>
      </c>
      <c r="AY15">
        <v>1279409001.0664063</v>
      </c>
      <c r="AZ15">
        <v>1381348621.1914063</v>
      </c>
      <c r="BA15">
        <v>265476556.75390625</v>
      </c>
      <c r="BB15">
        <v>303362234.44140625</v>
      </c>
      <c r="BC15">
        <v>149902868.25390625</v>
      </c>
      <c r="BD15">
        <v>-267844822.30859375</v>
      </c>
      <c r="BE15">
        <v>-149568698.24609375</v>
      </c>
      <c r="BF15">
        <v>235857966.25390625</v>
      </c>
      <c r="BG15">
        <v>757265943.81640625</v>
      </c>
      <c r="BH15">
        <v>757265943.81640625</v>
      </c>
    </row>
    <row r="16" spans="1:60" x14ac:dyDescent="0.3">
      <c r="A16">
        <v>-37.88933730579447</v>
      </c>
      <c r="B16">
        <v>-4.0952975590480492</v>
      </c>
      <c r="C16">
        <v>79.741404389147647</v>
      </c>
      <c r="D16">
        <v>-44.457404198939912</v>
      </c>
      <c r="E16">
        <v>190.09593846008647</v>
      </c>
      <c r="F16">
        <v>-40.723936688038521</v>
      </c>
      <c r="G16">
        <v>1.2582410007016733</v>
      </c>
      <c r="H16">
        <v>65.98709542688448</v>
      </c>
      <c r="I16">
        <v>0.11117736168671399</v>
      </c>
      <c r="J16">
        <v>151.38444811396766</v>
      </c>
      <c r="K16">
        <v>-71.030480470391922</v>
      </c>
      <c r="L16">
        <v>-301.90755446336698</v>
      </c>
      <c r="M16">
        <v>178.01124957867432</v>
      </c>
      <c r="N16">
        <v>66.532477777567692</v>
      </c>
      <c r="O16">
        <v>178.12104367103893</v>
      </c>
      <c r="P16">
        <v>107.85601760551799</v>
      </c>
      <c r="Q16">
        <v>-414.90876401483547</v>
      </c>
      <c r="R16">
        <v>-237.83024275291245</v>
      </c>
      <c r="S16">
        <v>17.996087632258423</v>
      </c>
      <c r="T16">
        <v>79.366790967178531</v>
      </c>
      <c r="U16">
        <v>175.33809792727698</v>
      </c>
      <c r="V16">
        <v>-7.1726012824801728</v>
      </c>
      <c r="W16">
        <v>120.94728987209965</v>
      </c>
      <c r="X16">
        <v>-31.059270319412462</v>
      </c>
      <c r="Y16">
        <v>-53.107785343076102</v>
      </c>
      <c r="Z16">
        <v>-220.36862767196726</v>
      </c>
      <c r="AA16">
        <v>-86.222841844777577</v>
      </c>
      <c r="AB16">
        <v>72.228587653604336</v>
      </c>
      <c r="AC16">
        <v>174.6690750020789</v>
      </c>
      <c r="AD16">
        <v>32.301866392721422</v>
      </c>
      <c r="AE16">
        <v>-99.946226935717277</v>
      </c>
      <c r="AF16">
        <v>-72.883117531309836</v>
      </c>
      <c r="AG16">
        <v>-51.025965141016059</v>
      </c>
      <c r="AH16">
        <v>-222.62882507394534</v>
      </c>
      <c r="AI16">
        <v>146.72570472687948</v>
      </c>
      <c r="AJ16">
        <v>178.71237183839548</v>
      </c>
      <c r="AK16">
        <v>-7.9177625140873715</v>
      </c>
      <c r="AL16">
        <v>-42.013739312882535</v>
      </c>
      <c r="AM16">
        <v>-20.598170982557349</v>
      </c>
      <c r="AN16">
        <v>-13.951354787568562</v>
      </c>
      <c r="AO16">
        <v>5.0956846858607605</v>
      </c>
      <c r="AP16">
        <v>48.851002497714944</v>
      </c>
      <c r="AQ16">
        <v>27.342996074003167</v>
      </c>
      <c r="AR16">
        <v>41.201760934782214</v>
      </c>
      <c r="AS16">
        <v>66.178864684072323</v>
      </c>
      <c r="AT16">
        <v>-61.633577304775827</v>
      </c>
      <c r="AU16">
        <v>-7.7826302171451971</v>
      </c>
      <c r="AV16">
        <v>-23.094541162136011</v>
      </c>
      <c r="AW16">
        <v>-2.1599283068208024</v>
      </c>
      <c r="AX16">
        <v>-37.527727238717489</v>
      </c>
      <c r="AY16">
        <v>-31.673806457663886</v>
      </c>
      <c r="AZ16">
        <v>0.77397009183187038</v>
      </c>
      <c r="BA16">
        <v>9.9105265737744048</v>
      </c>
      <c r="BB16">
        <v>-35.292868831078522</v>
      </c>
      <c r="BC16">
        <v>-31.370170788723044</v>
      </c>
      <c r="BD16">
        <v>9.2622648748802021</v>
      </c>
      <c r="BE16">
        <v>3.4310798096703365</v>
      </c>
      <c r="BF16">
        <v>12.826397126656957</v>
      </c>
      <c r="BG16">
        <v>35.507521385443397</v>
      </c>
      <c r="BH16">
        <v>35.507521385443397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Executar</vt:lpstr>
      <vt:lpstr>Tabela Entrada-Saída</vt:lpstr>
      <vt:lpstr>Formulário</vt:lpstr>
      <vt:lpstr>Solução</vt:lpstr>
      <vt:lpstr>Sem Outlayers</vt:lpstr>
      <vt:lpstr>Coeficiente de Acerto</vt:lpstr>
      <vt:lpstr>Outlayers</vt:lpstr>
      <vt:lpstr>Coordenadas dos Polos</vt:lpstr>
      <vt:lpstr>Cálculos Diversos</vt:lpstr>
      <vt:lpstr>Matrix (R)</vt:lpstr>
      <vt:lpstr>Matrix (R)^t</vt:lpstr>
      <vt:lpstr>Matrix (R)^t.(R)</vt:lpstr>
      <vt:lpstr>Matrix ((R)^t.(R))^(-1)</vt:lpstr>
      <vt:lpstr>Matrix (((R)^t.(R))^(-1)).(R)^t</vt:lpstr>
      <vt:lpstr>'Sem Outlayers'!Print_Titles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Eden Denis</dc:creator>
  <cp:lastModifiedBy>Eden Denis</cp:lastModifiedBy>
  <cp:lastPrinted>2017-07-08T16:25:51Z</cp:lastPrinted>
  <dcterms:created xsi:type="dcterms:W3CDTF">2013-01-06T09:57:14Z</dcterms:created>
  <dcterms:modified xsi:type="dcterms:W3CDTF">2024-02-18T21:38:08Z</dcterms:modified>
</cp:coreProperties>
</file>